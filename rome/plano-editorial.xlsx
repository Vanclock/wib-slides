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Linha do tempo" sheetId="3" state="visible" r:id="rId3"/>
  </sheets>
  <definedNames>
    <definedName name="_xlnm._FilterDatabase" localSheetId="2" hidden="1">'Linha do tempo'!$A$1:$I$1067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0.0"/>
    <numFmt numFmtId="165" formatCode="dd/mm/yyyy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43321A"/>
      <sz val="16"/>
    </font>
    <font>
      <name val="Arial"/>
      <charset val="1"/>
      <family val="0"/>
      <i val="1"/>
      <color rgb="FFA8553A"/>
      <sz val="11"/>
    </font>
    <font>
      <name val="Arial"/>
      <charset val="1"/>
      <family val="0"/>
      <b val="1"/>
      <color rgb="FF43321A"/>
      <sz val="12"/>
    </font>
    <font>
      <name val="Arial"/>
      <charset val="1"/>
      <family val="0"/>
      <sz val="10"/>
    </font>
    <font>
      <name val="Arial"/>
      <charset val="1"/>
      <family val="0"/>
      <b val="1"/>
      <color rgb="FF43321A"/>
      <sz val="14"/>
    </font>
    <font>
      <name val="Arial"/>
      <charset val="1"/>
      <family val="0"/>
      <b val="1"/>
      <sz val="10"/>
    </font>
    <font>
      <name val="Arial"/>
      <charset val="1"/>
      <family val="0"/>
      <b val="1"/>
      <color rgb="FF0000FF"/>
      <sz val="11"/>
    </font>
    <font>
      <name val="Arial"/>
      <charset val="1"/>
      <family val="0"/>
      <color rgb="FF0000FF"/>
      <sz val="11"/>
    </font>
    <font>
      <name val="Arial"/>
      <charset val="1"/>
      <family val="0"/>
      <b val="1"/>
      <color rgb="FFF6E7C8"/>
      <sz val="11"/>
    </font>
    <font>
      <name val="Arial"/>
      <charset val="1"/>
      <family val="0"/>
      <b val="1"/>
      <sz val="11"/>
    </font>
    <font>
      <name val="Arial"/>
      <charset val="1"/>
      <family val="0"/>
      <b val="1"/>
      <color rgb="FFF6E7C8"/>
      <sz val="10"/>
    </font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43321A"/>
        <bgColor rgb="FF333300"/>
      </patternFill>
    </fill>
  </fills>
  <borders count="2">
    <border>
      <left/>
      <right/>
      <top/>
      <bottom/>
      <diagonal/>
    </border>
    <border>
      <left style="thin">
        <color rgb="FFC9B98F"/>
      </left>
      <right style="thin">
        <color rgb="FFC9B98F"/>
      </right>
      <top style="thin">
        <color rgb="FFC9B98F"/>
      </top>
      <bottom style="thin">
        <color rgb="FFC9B98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 wrapText="1"/>
    </xf>
    <xf numFmtId="0" fontId="12" fillId="3" borderId="0" applyAlignment="1" pivotButton="0" quotePrefix="0" xfId="0">
      <alignment horizontal="center" vertical="bottom" wrapText="1"/>
    </xf>
    <xf numFmtId="0" fontId="7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0" fontId="13" fillId="0" borderId="1" applyAlignment="1" pivotButton="0" quotePrefix="0" xfId="0">
      <alignment horizontal="general" vertical="bottom"/>
    </xf>
    <xf numFmtId="164" fontId="13" fillId="0" borderId="1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0" fontId="14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/>
    </xf>
    <xf numFmtId="165" fontId="7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 wrapText="1"/>
    </xf>
    <xf numFmtId="0" fontId="12" fillId="3" borderId="0" applyAlignment="1" pivotButton="0" quotePrefix="0" xfId="0">
      <alignment horizontal="center" vertical="bottom" wrapText="1"/>
    </xf>
    <xf numFmtId="0" fontId="7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0" fontId="13" fillId="0" borderId="1" applyAlignment="1" pivotButton="0" quotePrefix="0" xfId="0">
      <alignment horizontal="general" vertical="bottom"/>
    </xf>
    <xf numFmtId="164" fontId="13" fillId="0" borderId="1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0" fontId="14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/>
    </xf>
    <xf numFmtId="165" fontId="7" fillId="0" borderId="1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9">
    <dxf>
      <fill>
        <patternFill patternType="solid">
          <fgColor rgb="FF43321A"/>
          <bgColor rgb="FF000000"/>
        </patternFill>
      </fill>
    </dxf>
    <dxf>
      <fill>
        <patternFill patternType="solid">
          <fgColor rgb="FFCFE3C8"/>
          <bgColor rgb="FF000000"/>
        </patternFill>
      </fill>
    </dxf>
    <dxf>
      <fill>
        <patternFill patternType="solid">
          <fgColor rgb="FFEFE6D2"/>
          <bgColor rgb="FF000000"/>
        </patternFill>
      </fill>
    </dxf>
    <dxf>
      <fill>
        <patternFill patternType="solid">
          <fgColor rgb="FFF6E3A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6E7C8"/>
          <bgColor rgb="FF000000"/>
        </patternFill>
      </fill>
    </dxf>
    <dxf>
      <fill>
        <patternFill>
          <bgColor rgb="FFCFE3C8"/>
        </patternFill>
      </fill>
    </dxf>
    <dxf>
      <fill>
        <patternFill>
          <bgColor rgb="FFF6E3A1"/>
        </patternFill>
      </fill>
    </dxf>
    <dxf>
      <fill>
        <patternFill>
          <bgColor rgb="FFEFE6D2"/>
        </patternFill>
      </fill>
    </dxf>
  </dxfs>
  <colors>
    <indexedColors>
      <rgbColor rgb="FF000000"/>
      <rgbColor rgb="FFEFE6D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B98F"/>
      <rgbColor rgb="FF808080"/>
      <rgbColor rgb="FF9999FF"/>
      <rgbColor rgb="FFA8553A"/>
      <rgbColor rgb="FFF6E7C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FE3C8"/>
      <rgbColor rgb="FFFFFF99"/>
      <rgbColor rgb="FF99CCFF"/>
      <rgbColor rgb="FFFF99CC"/>
      <rgbColor rgb="FFCC99FF"/>
      <rgbColor rgb="FFF6E3A1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3321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1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0" customWidth="1" style="23" min="1" max="1"/>
  </cols>
  <sheetData>
    <row r="1" ht="19.7" customHeight="1" s="24">
      <c r="A1" s="25" t="inlineStr">
        <is>
          <t>Plano editorial · Roma sem sentido</t>
        </is>
      </c>
    </row>
    <row r="2" ht="15" customHeight="1" s="24">
      <c r="A2" s="26" t="inlineStr">
        <is>
          <t>Roma de verdade, sem roteiro.</t>
        </is>
      </c>
    </row>
    <row r="3" ht="15" customHeight="1" s="24">
      <c r="A3" s="27" t="n"/>
    </row>
    <row r="4" ht="15" customHeight="1" s="24">
      <c r="A4" s="28" t="inlineStr">
        <is>
          <t>Como usar</t>
        </is>
      </c>
    </row>
    <row r="5" ht="15" customHeight="1" s="24">
      <c r="A5" s="29" t="inlineStr">
        <is>
          <t>• A aba 'Linha do tempo' tem um ponto numerado por post, em ordem cronológica, da pré-história a hoje.</t>
        </is>
      </c>
    </row>
    <row r="6" ht="15" customHeight="1" s="24">
      <c r="A6" s="29" t="inlineStr">
        <is>
          <t>• Cada post segue o formato do blog: história + lugar + dica prática, texto em português do Brasil e referências em ABNT.</t>
        </is>
      </c>
    </row>
    <row r="7" ht="15" customHeight="1" s="24">
      <c r="A7" s="29" t="inlineStr">
        <is>
          <t>• Edite apenas a coluna 'Status' (lista suspensa) e, se quiser, 'Título provisório' e 'Lugar para a dica'. As datas e o resumo se atualizam sozinhos.</t>
        </is>
      </c>
    </row>
    <row r="8" ht="15" customHeight="1" s="24">
      <c r="A8" s="29" t="inlineStr">
        <is>
          <t>• Os títulos são provisórios: cada fato e cada data são pesquisados e conferidos na hora de escrever o post.</t>
        </is>
      </c>
    </row>
    <row r="9" ht="15" customHeight="1" s="24">
      <c r="A9" s="29" t="inlineStr">
        <is>
          <t>• 'A definir (Roma)' na coluna de lugar significa que o ponto de visita ainda será escolhido ao escrever.</t>
        </is>
      </c>
    </row>
    <row r="10" ht="15" customHeight="1" s="24">
      <c r="A10" s="27" t="n"/>
    </row>
    <row r="11" ht="15" customHeight="1" s="24">
      <c r="A11" s="28" t="inlineStr">
        <is>
          <t>Premissas</t>
        </is>
      </c>
    </row>
    <row r="12" ht="15" customHeight="1" s="24">
      <c r="A12" s="29" t="inlineStr">
        <is>
          <t>• Ritmo de 3 posts por semana (segunda, quarta e sexta). Está na aba 'Resumo', célula B3, e pode ser alterado.</t>
        </is>
      </c>
    </row>
    <row r="13" ht="15" customHeight="1" s="24">
      <c r="A13" s="29" t="inlineStr">
        <is>
          <t>• O primeiro post da fila sai em 29/10/2026 e o segundo em 30/10/2026; depois segue seg/qua/sex a partir de 02/11/2026.</t>
        </is>
      </c>
    </row>
    <row r="14" ht="15" customHeight="1" s="24">
      <c r="A14" s="29" t="inlineStr">
        <is>
          <t>• Os pontos 1 a 45 (prelúdio pré-histórico e fundação) ficam fora da fila: podem ser publicados quando quiser, como flashbacks.</t>
        </is>
      </c>
    </row>
    <row r="15" ht="15" customHeight="1" s="24">
      <c r="A15" s="29" t="inlineStr">
        <is>
          <t>• Os dois posts já publicados (24 e 25/10/2026) estão marcados como 'Publicado' e o rascunho da República como 'Rascunho pronto'.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2" customWidth="1" style="23" min="1" max="1"/>
    <col width="48" customWidth="1" style="23" min="2" max="2"/>
    <col width="16" customWidth="1" style="23" min="3" max="5"/>
  </cols>
  <sheetData>
    <row r="1" ht="17.35" customHeight="1" s="24">
      <c r="A1" s="30" t="inlineStr">
        <is>
          <t>Resumo do plano</t>
        </is>
      </c>
    </row>
    <row r="3" ht="15" customHeight="1" s="24">
      <c r="A3" s="31" t="inlineStr">
        <is>
          <t>Posts por semana (editável)</t>
        </is>
      </c>
      <c r="B3" s="32" t="n">
        <v>3</v>
      </c>
      <c r="C3" s="33" t="n"/>
      <c r="D3" s="33" t="n"/>
      <c r="E3" s="33" t="n"/>
    </row>
    <row r="4" ht="15" customHeight="1" s="24">
      <c r="A4" s="31" t="inlineStr">
        <is>
          <t>Semanas por ano</t>
        </is>
      </c>
      <c r="B4" s="34" t="n">
        <v>52</v>
      </c>
      <c r="C4" s="33" t="inlineStr">
        <is>
          <t>Premissa: ano de 52 semanas, sem pausas.</t>
        </is>
      </c>
      <c r="D4" s="33" t="n"/>
      <c r="E4" s="33" t="n"/>
    </row>
    <row r="5" ht="15" customHeight="1" s="24">
      <c r="A5" s="33" t="n"/>
      <c r="B5" s="33" t="n"/>
      <c r="C5" s="33" t="n"/>
      <c r="D5" s="33" t="n"/>
      <c r="E5" s="33" t="n"/>
    </row>
    <row r="6" ht="15" customHeight="1" s="24">
      <c r="A6" s="31" t="inlineStr">
        <is>
          <t>Post da vez</t>
        </is>
      </c>
      <c r="B6" s="35">
        <f>INDEX('Linha do tempo'!D2:D1067,MATCH(0,'Linha do tempo'!H2:H1067,0))</f>
        <v/>
      </c>
      <c r="C6" s="33" t="n"/>
      <c r="D6" s="33" t="n"/>
      <c r="E6" s="33" t="n"/>
    </row>
    <row r="7" ht="15" customHeight="1" s="24">
      <c r="A7" s="31" t="inlineStr">
        <is>
          <t>Período do post da vez</t>
        </is>
      </c>
      <c r="B7" s="33">
        <f>INDEX('Linha do tempo'!C2:C1067,MATCH(0,'Linha do tempo'!H2:H1067,0))</f>
        <v/>
      </c>
      <c r="C7" s="33" t="n"/>
      <c r="D7" s="33" t="n"/>
      <c r="E7" s="33" t="n"/>
    </row>
    <row r="8" ht="15" customHeight="1" s="24">
      <c r="A8" s="31" t="inlineStr">
        <is>
          <t>Lugar sugerido</t>
        </is>
      </c>
      <c r="B8" s="35">
        <f>INDEX('Linha do tempo'!E2:E1067,MATCH(0,'Linha do tempo'!H2:H1067,0))</f>
        <v/>
      </c>
      <c r="C8" s="33" t="n"/>
      <c r="D8" s="33" t="n"/>
      <c r="E8" s="33" t="n"/>
    </row>
    <row r="9" ht="15" customHeight="1" s="24">
      <c r="A9" s="33" t="n"/>
      <c r="B9" s="33" t="n"/>
      <c r="C9" s="33" t="n"/>
      <c r="D9" s="33" t="n"/>
      <c r="E9" s="33" t="n"/>
    </row>
    <row r="10" ht="26.85" customHeight="1" s="24">
      <c r="A10" s="36" t="inlineStr">
        <is>
          <t>Era</t>
        </is>
      </c>
      <c r="B10" s="36" t="inlineStr">
        <is>
          <t>Pontos</t>
        </is>
      </c>
      <c r="C10" s="36" t="inlineStr">
        <is>
          <t>Publicados</t>
        </is>
      </c>
      <c r="D10" s="36" t="inlineStr">
        <is>
          <t>Pendentes</t>
        </is>
      </c>
      <c r="E10" s="36" t="inlineStr">
        <is>
          <t>Anos no ritmo atual</t>
        </is>
      </c>
    </row>
    <row r="11" ht="15" customHeight="1" s="24">
      <c r="A11" s="37" t="inlineStr">
        <is>
          <t>Prelúdio: da pré-história à véspera de Roma (até 754 a.C.)</t>
        </is>
      </c>
      <c r="B11" s="37">
        <f>COUNTIF('Linha do tempo'!$B$2:$B$1067,A11)</f>
        <v/>
      </c>
      <c r="C11" s="37">
        <f>COUNTIFS('Linha do tempo'!$B$2:$B$1067,A11,'Linha do tempo'!$F$2:$F$1067,"Publicado")</f>
        <v/>
      </c>
      <c r="D11" s="37">
        <f>B11-C11</f>
        <v/>
      </c>
      <c r="E11" s="38">
        <f>B11/($B$3*$B$4)</f>
        <v/>
      </c>
    </row>
    <row r="12" ht="15" customHeight="1" s="24">
      <c r="A12" s="37" t="inlineStr">
        <is>
          <t>Roma régia e a Itália arcaica (753–510 a.C.)</t>
        </is>
      </c>
      <c r="B12" s="37">
        <f>COUNTIF('Linha do tempo'!$B$2:$B$1067,A12)</f>
        <v/>
      </c>
      <c r="C12" s="37">
        <f>COUNTIFS('Linha do tempo'!$B$2:$B$1067,A12,'Linha do tempo'!$F$2:$F$1067,"Publicado")</f>
        <v/>
      </c>
      <c r="D12" s="37">
        <f>B12-C12</f>
        <v/>
      </c>
      <c r="E12" s="38">
        <f>B12/($B$3*$B$4)</f>
        <v/>
      </c>
    </row>
    <row r="13" ht="15" customHeight="1" s="24">
      <c r="A13" s="37" t="inlineStr">
        <is>
          <t>República romana (509–28 a.C.)</t>
        </is>
      </c>
      <c r="B13" s="37">
        <f>COUNTIF('Linha do tempo'!$B$2:$B$1067,A13)</f>
        <v/>
      </c>
      <c r="C13" s="37">
        <f>COUNTIFS('Linha do tempo'!$B$2:$B$1067,A13,'Linha do tempo'!$F$2:$F$1067,"Publicado")</f>
        <v/>
      </c>
      <c r="D13" s="37">
        <f>B13-C13</f>
        <v/>
      </c>
      <c r="E13" s="38">
        <f>B13/($B$3*$B$4)</f>
        <v/>
      </c>
    </row>
    <row r="14" ht="15" customHeight="1" s="24">
      <c r="A14" s="37" t="inlineStr">
        <is>
          <t>Alto Império: de Augusto a Cômodo (27 a.C.–192 d.C.)</t>
        </is>
      </c>
      <c r="B14" s="37">
        <f>COUNTIF('Linha do tempo'!$B$2:$B$1067,A14)</f>
        <v/>
      </c>
      <c r="C14" s="37">
        <f>COUNTIFS('Linha do tempo'!$B$2:$B$1067,A14,'Linha do tempo'!$F$2:$F$1067,"Publicado")</f>
        <v/>
      </c>
      <c r="D14" s="37">
        <f>B14-C14</f>
        <v/>
      </c>
      <c r="E14" s="38">
        <f>B14/($B$3*$B$4)</f>
        <v/>
      </c>
    </row>
    <row r="15" ht="15" customHeight="1" s="24">
      <c r="A15" s="37" t="inlineStr">
        <is>
          <t>Crise e Império tardio (193–476 d.C.)</t>
        </is>
      </c>
      <c r="B15" s="37">
        <f>COUNTIF('Linha do tempo'!$B$2:$B$1067,A15)</f>
        <v/>
      </c>
      <c r="C15" s="37">
        <f>COUNTIFS('Linha do tempo'!$B$2:$B$1067,A15,'Linha do tempo'!$F$2:$F$1067,"Publicado")</f>
        <v/>
      </c>
      <c r="D15" s="37">
        <f>B15-C15</f>
        <v/>
      </c>
      <c r="E15" s="38">
        <f>B15/($B$3*$B$4)</f>
        <v/>
      </c>
    </row>
    <row r="16" ht="15" customHeight="1" s="24">
      <c r="A16" s="37" t="inlineStr">
        <is>
          <t>Alta Idade Média: ostrogodos, bizantinos, lombardos e papas (476–1000)</t>
        </is>
      </c>
      <c r="B16" s="37">
        <f>COUNTIF('Linha do tempo'!$B$2:$B$1067,A16)</f>
        <v/>
      </c>
      <c r="C16" s="37">
        <f>COUNTIFS('Linha do tempo'!$B$2:$B$1067,A16,'Linha do tempo'!$F$2:$F$1067,"Publicado")</f>
        <v/>
      </c>
      <c r="D16" s="37">
        <f>B16-C16</f>
        <v/>
      </c>
      <c r="E16" s="38">
        <f>B16/($B$3*$B$4)</f>
        <v/>
      </c>
    </row>
    <row r="17" ht="15" customHeight="1" s="24">
      <c r="A17" s="37" t="inlineStr">
        <is>
          <t>Baixa Idade Média: normandos, comunas e peste (1001–1400)</t>
        </is>
      </c>
      <c r="B17" s="37">
        <f>COUNTIF('Linha do tempo'!$B$2:$B$1067,A17)</f>
        <v/>
      </c>
      <c r="C17" s="37">
        <f>COUNTIFS('Linha do tempo'!$B$2:$B$1067,A17,'Linha do tempo'!$F$2:$F$1067,"Publicado")</f>
        <v/>
      </c>
      <c r="D17" s="37">
        <f>B17-C17</f>
        <v/>
      </c>
      <c r="E17" s="38">
        <f>B17/($B$3*$B$4)</f>
        <v/>
      </c>
    </row>
    <row r="18" ht="15" customHeight="1" s="24">
      <c r="A18" s="37" t="inlineStr">
        <is>
          <t>Renascimento (1401–1527)</t>
        </is>
      </c>
      <c r="B18" s="37">
        <f>COUNTIF('Linha do tempo'!$B$2:$B$1067,A18)</f>
        <v/>
      </c>
      <c r="C18" s="37">
        <f>COUNTIFS('Linha do tempo'!$B$2:$B$1067,A18,'Linha do tempo'!$F$2:$F$1067,"Publicado")</f>
        <v/>
      </c>
      <c r="D18" s="37">
        <f>B18-C18</f>
        <v/>
      </c>
      <c r="E18" s="38">
        <f>B18/($B$3*$B$4)</f>
        <v/>
      </c>
    </row>
    <row r="19" ht="15" customHeight="1" s="24">
      <c r="A19" s="37" t="inlineStr">
        <is>
          <t>Contrarreforma, Barroco e Roma papal (1528–1700)</t>
        </is>
      </c>
      <c r="B19" s="37">
        <f>COUNTIF('Linha do tempo'!$B$2:$B$1067,A19)</f>
        <v/>
      </c>
      <c r="C19" s="37">
        <f>COUNTIFS('Linha do tempo'!$B$2:$B$1067,A19,'Linha do tempo'!$F$2:$F$1067,"Publicado")</f>
        <v/>
      </c>
      <c r="D19" s="37">
        <f>B19-C19</f>
        <v/>
      </c>
      <c r="E19" s="38">
        <f>B19/($B$3*$B$4)</f>
        <v/>
      </c>
    </row>
    <row r="20" ht="15" customHeight="1" s="24">
      <c r="A20" s="37" t="inlineStr">
        <is>
          <t>Século XVIII: Grand Tour, Iluminismo e Napoleão (1701–1814)</t>
        </is>
      </c>
      <c r="B20" s="37">
        <f>COUNTIF('Linha do tempo'!$B$2:$B$1067,A20)</f>
        <v/>
      </c>
      <c r="C20" s="37">
        <f>COUNTIFS('Linha do tempo'!$B$2:$B$1067,A20,'Linha do tempo'!$F$2:$F$1067,"Publicado")</f>
        <v/>
      </c>
      <c r="D20" s="37">
        <f>B20-C20</f>
        <v/>
      </c>
      <c r="E20" s="38">
        <f>B20/($B$3*$B$4)</f>
        <v/>
      </c>
    </row>
    <row r="21" ht="15" customHeight="1" s="24">
      <c r="A21" s="37" t="inlineStr">
        <is>
          <t>Risorgimento e unificação (1815–1870)</t>
        </is>
      </c>
      <c r="B21" s="37">
        <f>COUNTIF('Linha do tempo'!$B$2:$B$1067,A21)</f>
        <v/>
      </c>
      <c r="C21" s="37">
        <f>COUNTIFS('Linha do tempo'!$B$2:$B$1067,A21,'Linha do tempo'!$F$2:$F$1067,"Publicado")</f>
        <v/>
      </c>
      <c r="D21" s="37">
        <f>B21-C21</f>
        <v/>
      </c>
      <c r="E21" s="38">
        <f>B21/($B$3*$B$4)</f>
        <v/>
      </c>
    </row>
    <row r="22" ht="15" customHeight="1" s="24">
      <c r="A22" s="37" t="inlineStr">
        <is>
          <t>Itália liberal e Grande Guerra (1871–1921)</t>
        </is>
      </c>
      <c r="B22" s="37">
        <f>COUNTIF('Linha do tempo'!$B$2:$B$1067,A22)</f>
        <v/>
      </c>
      <c r="C22" s="37">
        <f>COUNTIFS('Linha do tempo'!$B$2:$B$1067,A22,'Linha do tempo'!$F$2:$F$1067,"Publicado")</f>
        <v/>
      </c>
      <c r="D22" s="37">
        <f>B22-C22</f>
        <v/>
      </c>
      <c r="E22" s="38">
        <f>B22/($B$3*$B$4)</f>
        <v/>
      </c>
    </row>
    <row r="23" ht="15" customHeight="1" s="24">
      <c r="A23" s="37" t="inlineStr">
        <is>
          <t>Fascismo e Segunda Guerra (1922–1945)</t>
        </is>
      </c>
      <c r="B23" s="37">
        <f>COUNTIF('Linha do tempo'!$B$2:$B$1067,A23)</f>
        <v/>
      </c>
      <c r="C23" s="37">
        <f>COUNTIFS('Linha do tempo'!$B$2:$B$1067,A23,'Linha do tempo'!$F$2:$F$1067,"Publicado")</f>
        <v/>
      </c>
      <c r="D23" s="37">
        <f>B23-C23</f>
        <v/>
      </c>
      <c r="E23" s="38">
        <f>B23/($B$3*$B$4)</f>
        <v/>
      </c>
    </row>
    <row r="24" ht="15" customHeight="1" s="24">
      <c r="A24" s="37" t="inlineStr">
        <is>
          <t>República Italiana: da reconstrução a hoje (1946–hoje)</t>
        </is>
      </c>
      <c r="B24" s="37">
        <f>COUNTIF('Linha do tempo'!$B$2:$B$1067,A24)</f>
        <v/>
      </c>
      <c r="C24" s="37">
        <f>COUNTIFS('Linha do tempo'!$B$2:$B$1067,A24,'Linha do tempo'!$F$2:$F$1067,"Publicado")</f>
        <v/>
      </c>
      <c r="D24" s="37">
        <f>B24-C24</f>
        <v/>
      </c>
      <c r="E24" s="38">
        <f>B24/($B$3*$B$4)</f>
        <v/>
      </c>
    </row>
    <row r="25" ht="15" customHeight="1" s="24">
      <c r="A25" s="39" t="inlineStr">
        <is>
          <t>Total</t>
        </is>
      </c>
      <c r="B25" s="39">
        <f>SUM(B11:B24)</f>
        <v/>
      </c>
      <c r="C25" s="39">
        <f>SUM(C11:C24)</f>
        <v/>
      </c>
      <c r="D25" s="39">
        <f>SUM(D11:D24)</f>
        <v/>
      </c>
      <c r="E25" s="40">
        <f>B25/($B$3*$B$4)</f>
        <v/>
      </c>
    </row>
    <row r="26" ht="15" customHeight="1" s="24">
      <c r="A26" s="33" t="n"/>
      <c r="B26" s="33" t="n"/>
      <c r="C26" s="33" t="n"/>
      <c r="D26" s="33" t="n"/>
      <c r="E26" s="33" t="n"/>
    </row>
    <row r="27" ht="15" customHeight="1" s="24">
      <c r="A27" s="31" t="inlineStr">
        <is>
          <t>Posts por semana para concluir em 1 ano</t>
        </is>
      </c>
      <c r="B27" s="41">
        <f>B25/$B$4</f>
        <v/>
      </c>
      <c r="C27" s="33" t="n"/>
      <c r="D27" s="33" t="n"/>
      <c r="E27" s="33" t="n"/>
    </row>
    <row r="28" ht="15" customHeight="1" s="24">
      <c r="A28" s="31" t="inlineStr">
        <is>
          <t>Posts por dia para concluir em 1 ano</t>
        </is>
      </c>
      <c r="B28" s="41">
        <f>B25/365</f>
        <v/>
      </c>
      <c r="C28" s="33" t="n"/>
      <c r="D28" s="33" t="n"/>
      <c r="E28" s="33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106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6" customWidth="1" style="23" min="1" max="1"/>
    <col width="34" customWidth="1" style="23" min="2" max="2"/>
    <col width="14" customWidth="1" style="23" min="3" max="3"/>
    <col width="52" customWidth="1" style="23" min="4" max="4"/>
    <col width="38" customWidth="1" style="23" min="5" max="5"/>
    <col width="18" customWidth="1" style="23" min="6" max="6"/>
    <col width="13" customWidth="1" style="23" min="7" max="7"/>
    <col width="7" customWidth="1" style="23" min="8" max="8"/>
    <col width="14" customWidth="1" style="23" min="9" max="9"/>
  </cols>
  <sheetData>
    <row r="1" ht="30" customHeight="1" s="24">
      <c r="A1" s="42" t="inlineStr">
        <is>
          <t>Nº</t>
        </is>
      </c>
      <c r="B1" s="42" t="inlineStr">
        <is>
          <t>Era</t>
        </is>
      </c>
      <c r="C1" s="42" t="inlineStr">
        <is>
          <t>Período</t>
        </is>
      </c>
      <c r="D1" s="42" t="inlineStr">
        <is>
          <t>Título provisório</t>
        </is>
      </c>
      <c r="E1" s="42" t="inlineStr">
        <is>
          <t>Lugar para a dica</t>
        </is>
      </c>
      <c r="F1" s="42" t="inlineStr">
        <is>
          <t>Status</t>
        </is>
      </c>
      <c r="G1" s="42" t="inlineStr">
        <is>
          <t>Ano (a.C. &lt; 0)</t>
        </is>
      </c>
      <c r="H1" s="42" t="inlineStr">
        <is>
          <t>Fila</t>
        </is>
      </c>
      <c r="I1" s="42" t="inlineStr">
        <is>
          <t>Data prevista</t>
        </is>
      </c>
    </row>
    <row r="2" ht="23.85" customHeight="1" s="24">
      <c r="A2" s="43" t="n">
        <v>1</v>
      </c>
      <c r="B2" s="44" t="inlineStr">
        <is>
          <t>Prelúdio: da pré-história à véspera de Roma (até 754 a.C.)</t>
        </is>
      </c>
      <c r="C2" s="45" t="inlineStr">
        <is>
          <t>c. 1.000.000 a.C.</t>
        </is>
      </c>
      <c r="D2" s="44" t="inlineStr">
        <is>
          <t>Os primeiros humanos na Itália</t>
        </is>
      </c>
      <c r="E2" s="44" t="inlineStr">
        <is>
          <t>Museo Preistorico Etnografico Pigorini, Roma (EUR)</t>
        </is>
      </c>
      <c r="F2" s="45" t="inlineStr">
        <is>
          <t>Prelúdio (pendente)</t>
        </is>
      </c>
      <c r="G2" s="45" t="n">
        <v>-1000000</v>
      </c>
      <c r="H2" s="43" t="n"/>
      <c r="I2" s="43" t="inlineStr">
        <is>
          <t>fora da fila</t>
        </is>
      </c>
    </row>
    <row r="3" ht="23.85" customHeight="1" s="24">
      <c r="A3" s="43" t="n">
        <v>2</v>
      </c>
      <c r="B3" s="44" t="inlineStr">
        <is>
          <t>Prelúdio: da pré-história à véspera de Roma (até 754 a.C.)</t>
        </is>
      </c>
      <c r="C3" s="45" t="inlineStr">
        <is>
          <t>c. 450.000 a.C.</t>
        </is>
      </c>
      <c r="D3" s="44" t="inlineStr">
        <is>
          <t>As pegadas de Roccamonfina: humanos antigos na Campânia</t>
        </is>
      </c>
      <c r="E3" s="44" t="inlineStr">
        <is>
          <t>Ciampate del Diavolo, Roccamonfina</t>
        </is>
      </c>
      <c r="F3" s="45" t="inlineStr">
        <is>
          <t>Prelúdio (pendente)</t>
        </is>
      </c>
      <c r="G3" s="45" t="n">
        <v>-450000</v>
      </c>
      <c r="H3" s="43" t="n"/>
      <c r="I3" s="43" t="inlineStr">
        <is>
          <t>fora da fila</t>
        </is>
      </c>
    </row>
    <row r="4" ht="23.85" customHeight="1" s="24">
      <c r="A4" s="43" t="n">
        <v>3</v>
      </c>
      <c r="B4" s="44" t="inlineStr">
        <is>
          <t>Prelúdio: da pré-história à véspera de Roma (até 754 a.C.)</t>
        </is>
      </c>
      <c r="C4" s="45" t="inlineStr">
        <is>
          <t>c. 250.000 a.C.</t>
        </is>
      </c>
      <c r="D4" s="44" t="inlineStr">
        <is>
          <t>A Roma pré-histórica: elefantes antigos no vale do Aniene</t>
        </is>
      </c>
      <c r="E4" s="44" t="inlineStr">
        <is>
          <t>Museo Preistorico Etnografico Pigorini, Roma (EUR)</t>
        </is>
      </c>
      <c r="F4" s="45" t="inlineStr">
        <is>
          <t>Prelúdio (pendente)</t>
        </is>
      </c>
      <c r="G4" s="45" t="n">
        <v>-250000</v>
      </c>
      <c r="H4" s="43" t="n"/>
      <c r="I4" s="43" t="inlineStr">
        <is>
          <t>fora da fila</t>
        </is>
      </c>
    </row>
    <row r="5" ht="23.85" customHeight="1" s="24">
      <c r="A5" s="43" t="n">
        <v>4</v>
      </c>
      <c r="B5" s="44" t="inlineStr">
        <is>
          <t>Prelúdio: da pré-história à véspera de Roma (até 754 a.C.)</t>
        </is>
      </c>
      <c r="C5" s="45" t="inlineStr">
        <is>
          <t>c. 100.000 a.C.</t>
        </is>
      </c>
      <c r="D5" s="44" t="inlineStr">
        <is>
          <t>Neandertais no Lácio: a gruta Guattari do Monte Circeo</t>
        </is>
      </c>
      <c r="E5" s="44" t="inlineStr">
        <is>
          <t>San Felice Circeo</t>
        </is>
      </c>
      <c r="F5" s="45" t="inlineStr">
        <is>
          <t>Prelúdio (pendente)</t>
        </is>
      </c>
      <c r="G5" s="45" t="n">
        <v>-100000</v>
      </c>
      <c r="H5" s="43" t="n"/>
      <c r="I5" s="43" t="inlineStr">
        <is>
          <t>fora da fila</t>
        </is>
      </c>
    </row>
    <row r="6" ht="23.85" customHeight="1" s="24">
      <c r="A6" s="43" t="n">
        <v>5</v>
      </c>
      <c r="B6" s="44" t="inlineStr">
        <is>
          <t>Prelúdio: da pré-história à véspera de Roma (até 754 a.C.)</t>
        </is>
      </c>
      <c r="C6" s="45" t="inlineStr">
        <is>
          <t>c. 40.000 a.C.</t>
        </is>
      </c>
      <c r="D6" s="44" t="inlineStr">
        <is>
          <t>Os primeiros Homo sapiens da Itália</t>
        </is>
      </c>
      <c r="E6" s="44" t="inlineStr">
        <is>
          <t>Grimaldi / Balzi Rossi, Ventimiglia</t>
        </is>
      </c>
      <c r="F6" s="45" t="inlineStr">
        <is>
          <t>Prelúdio (pendente)</t>
        </is>
      </c>
      <c r="G6" s="45" t="n">
        <v>-40000</v>
      </c>
      <c r="H6" s="43" t="n"/>
      <c r="I6" s="43" t="inlineStr">
        <is>
          <t>fora da fila</t>
        </is>
      </c>
    </row>
    <row r="7" ht="23.85" customHeight="1" s="24">
      <c r="A7" s="43" t="n">
        <v>6</v>
      </c>
      <c r="B7" s="44" t="inlineStr">
        <is>
          <t>Prelúdio: da pré-história à véspera de Roma (até 754 a.C.)</t>
        </is>
      </c>
      <c r="C7" s="45" t="inlineStr">
        <is>
          <t>c. 25.000 a.C.</t>
        </is>
      </c>
      <c r="D7" s="44" t="inlineStr">
        <is>
          <t>Os sepultamentos e as estatuetas dos Balzi Rossi</t>
        </is>
      </c>
      <c r="E7" s="44" t="inlineStr">
        <is>
          <t>Balzi Rossi, Ventimiglia</t>
        </is>
      </c>
      <c r="F7" s="45" t="inlineStr">
        <is>
          <t>Prelúdio (pendente)</t>
        </is>
      </c>
      <c r="G7" s="45" t="n">
        <v>-25000</v>
      </c>
      <c r="H7" s="43" t="n"/>
      <c r="I7" s="43" t="inlineStr">
        <is>
          <t>fora da fila</t>
        </is>
      </c>
    </row>
    <row r="8" ht="23.85" customHeight="1" s="24">
      <c r="A8" s="43" t="n">
        <v>7</v>
      </c>
      <c r="B8" s="44" t="inlineStr">
        <is>
          <t>Prelúdio: da pré-história à véspera de Roma (até 754 a.C.)</t>
        </is>
      </c>
      <c r="C8" s="45" t="inlineStr">
        <is>
          <t>c. 12.000 a.C.</t>
        </is>
      </c>
      <c r="D8" s="44" t="inlineStr">
        <is>
          <t>Arte rupestre do Mediterrâneo: a gruta do Genovese</t>
        </is>
      </c>
      <c r="E8" s="44" t="inlineStr">
        <is>
          <t>Ilha de Levanzo, Sicília</t>
        </is>
      </c>
      <c r="F8" s="45" t="inlineStr">
        <is>
          <t>Prelúdio (pendente)</t>
        </is>
      </c>
      <c r="G8" s="45" t="n">
        <v>-12000</v>
      </c>
      <c r="H8" s="43" t="n"/>
      <c r="I8" s="43" t="inlineStr">
        <is>
          <t>fora da fila</t>
        </is>
      </c>
    </row>
    <row r="9" ht="23.85" customHeight="1" s="24">
      <c r="A9" s="43" t="n">
        <v>8</v>
      </c>
      <c r="B9" s="44" t="inlineStr">
        <is>
          <t>Prelúdio: da pré-história à véspera de Roma (até 754 a.C.)</t>
        </is>
      </c>
      <c r="C9" s="45" t="inlineStr">
        <is>
          <t>c. 6.000 a.C.</t>
        </is>
      </c>
      <c r="D9" s="44" t="inlineStr">
        <is>
          <t>A revolução neolítica chega à península</t>
        </is>
      </c>
      <c r="E9" s="44" t="inlineStr">
        <is>
          <t>Museo Preistorico Etnografico Pigorini, Roma (EUR)</t>
        </is>
      </c>
      <c r="F9" s="45" t="inlineStr">
        <is>
          <t>Prelúdio (pendente)</t>
        </is>
      </c>
      <c r="G9" s="45" t="n">
        <v>-6000</v>
      </c>
      <c r="H9" s="43" t="n"/>
      <c r="I9" s="43" t="inlineStr">
        <is>
          <t>fora da fila</t>
        </is>
      </c>
    </row>
    <row r="10" ht="23.85" customHeight="1" s="24">
      <c r="A10" s="43" t="n">
        <v>9</v>
      </c>
      <c r="B10" s="44" t="inlineStr">
        <is>
          <t>Prelúdio: da pré-história à véspera de Roma (até 754 a.C.)</t>
        </is>
      </c>
      <c r="C10" s="45" t="inlineStr">
        <is>
          <t>c. 5.500 a.C.</t>
        </is>
      </c>
      <c r="D10" s="44" t="inlineStr">
        <is>
          <t>As primeiras aldeias neolíticas do Tavoliere</t>
        </is>
      </c>
      <c r="E10" s="44" t="inlineStr">
        <is>
          <t>Tavoliere, Apúlia</t>
        </is>
      </c>
      <c r="F10" s="45" t="inlineStr">
        <is>
          <t>Prelúdio (pendente)</t>
        </is>
      </c>
      <c r="G10" s="45" t="n">
        <v>-5500</v>
      </c>
      <c r="H10" s="43" t="n"/>
      <c r="I10" s="43" t="inlineStr">
        <is>
          <t>fora da fila</t>
        </is>
      </c>
    </row>
    <row r="11" ht="23.85" customHeight="1" s="24">
      <c r="A11" s="43" t="n">
        <v>10</v>
      </c>
      <c r="B11" s="44" t="inlineStr">
        <is>
          <t>Prelúdio: da pré-história à véspera de Roma (até 754 a.C.)</t>
        </is>
      </c>
      <c r="C11" s="45" t="inlineStr">
        <is>
          <t>c. 4.000 a.C.</t>
        </is>
      </c>
      <c r="D11" s="44" t="inlineStr">
        <is>
          <t>A obsidiana de Lipari e as rotas do Mediterrâneo</t>
        </is>
      </c>
      <c r="E11" s="44" t="inlineStr">
        <is>
          <t>Museo Archeologico Regionale Eoliano, Lipari</t>
        </is>
      </c>
      <c r="F11" s="45" t="inlineStr">
        <is>
          <t>Prelúdio (pendente)</t>
        </is>
      </c>
      <c r="G11" s="45" t="n">
        <v>-4000</v>
      </c>
      <c r="H11" s="43" t="n"/>
      <c r="I11" s="43" t="inlineStr">
        <is>
          <t>fora da fila</t>
        </is>
      </c>
    </row>
    <row r="12" ht="23.85" customHeight="1" s="24">
      <c r="A12" s="43" t="n">
        <v>11</v>
      </c>
      <c r="B12" s="44" t="inlineStr">
        <is>
          <t>Prelúdio: da pré-história à véspera de Roma (até 754 a.C.)</t>
        </is>
      </c>
      <c r="C12" s="45" t="inlineStr">
        <is>
          <t>c. 3.300 a.C.</t>
        </is>
      </c>
      <c r="D12" s="44" t="inlineStr">
        <is>
          <t>Ötzi, o Homem do Gelo</t>
        </is>
      </c>
      <c r="E12" s="44" t="inlineStr">
        <is>
          <t>Museu de Arqueologia do Tirol do Sul, Bolzano</t>
        </is>
      </c>
      <c r="F12" s="45" t="inlineStr">
        <is>
          <t>Prelúdio (pendente)</t>
        </is>
      </c>
      <c r="G12" s="45" t="n">
        <v>-3300</v>
      </c>
      <c r="H12" s="43" t="n"/>
      <c r="I12" s="43" t="inlineStr">
        <is>
          <t>fora da fila</t>
        </is>
      </c>
    </row>
    <row r="13" ht="23.85" customHeight="1" s="24">
      <c r="A13" s="43" t="n">
        <v>12</v>
      </c>
      <c r="B13" s="44" t="inlineStr">
        <is>
          <t>Prelúdio: da pré-história à véspera de Roma (até 754 a.C.)</t>
        </is>
      </c>
      <c r="C13" s="45" t="inlineStr">
        <is>
          <t>c. 3.000 a.C.</t>
        </is>
      </c>
      <c r="D13" s="44" t="inlineStr">
        <is>
          <t>Remedello e as primeiras armas de cobre</t>
        </is>
      </c>
      <c r="E13" s="44" t="inlineStr">
        <is>
          <t>Brescia</t>
        </is>
      </c>
      <c r="F13" s="45" t="inlineStr">
        <is>
          <t>Prelúdio (pendente)</t>
        </is>
      </c>
      <c r="G13" s="45" t="n">
        <v>-3000</v>
      </c>
      <c r="H13" s="43" t="n"/>
      <c r="I13" s="43" t="inlineStr">
        <is>
          <t>fora da fila</t>
        </is>
      </c>
    </row>
    <row r="14" ht="23.85" customHeight="1" s="24">
      <c r="A14" s="43" t="n">
        <v>13</v>
      </c>
      <c r="B14" s="44" t="inlineStr">
        <is>
          <t>Prelúdio: da pré-história à véspera de Roma (até 754 a.C.)</t>
        </is>
      </c>
      <c r="C14" s="45" t="inlineStr">
        <is>
          <t>c. 3.000 a.C.</t>
        </is>
      </c>
      <c r="D14" s="44" t="inlineStr">
        <is>
          <t>Menires e dólmens do Salento</t>
        </is>
      </c>
      <c r="E14" s="44" t="inlineStr">
        <is>
          <t>Giardino megalitico, Giurdignano</t>
        </is>
      </c>
      <c r="F14" s="45" t="inlineStr">
        <is>
          <t>Prelúdio (pendente)</t>
        </is>
      </c>
      <c r="G14" s="45" t="n">
        <v>-3000</v>
      </c>
      <c r="H14" s="43" t="n"/>
      <c r="I14" s="43" t="inlineStr">
        <is>
          <t>fora da fila</t>
        </is>
      </c>
    </row>
    <row r="15" ht="23.85" customHeight="1" s="24">
      <c r="A15" s="43" t="n">
        <v>14</v>
      </c>
      <c r="B15" s="44" t="inlineStr">
        <is>
          <t>Prelúdio: da pré-história à véspera de Roma (até 754 a.C.)</t>
        </is>
      </c>
      <c r="C15" s="45" t="inlineStr">
        <is>
          <t>c. 2.800 a.C.</t>
        </is>
      </c>
      <c r="D15" s="44" t="inlineStr">
        <is>
          <t>As gravuras rupestres do Vale Camonica</t>
        </is>
      </c>
      <c r="E15" s="44" t="inlineStr">
        <is>
          <t>Valle Camonica</t>
        </is>
      </c>
      <c r="F15" s="45" t="inlineStr">
        <is>
          <t>Prelúdio (pendente)</t>
        </is>
      </c>
      <c r="G15" s="45" t="n">
        <v>-2800</v>
      </c>
      <c r="H15" s="43" t="n"/>
      <c r="I15" s="43" t="inlineStr">
        <is>
          <t>fora da fila</t>
        </is>
      </c>
    </row>
    <row r="16" ht="23.85" customHeight="1" s="24">
      <c r="A16" s="43" t="n">
        <v>15</v>
      </c>
      <c r="B16" s="44" t="inlineStr">
        <is>
          <t>Prelúdio: da pré-história à véspera de Roma (até 754 a.C.)</t>
        </is>
      </c>
      <c r="C16" s="45" t="inlineStr">
        <is>
          <t>c. 2.500 a.C.</t>
        </is>
      </c>
      <c r="D16" s="44" t="inlineStr">
        <is>
          <t>O povo do Campaniforme na Itália</t>
        </is>
      </c>
      <c r="E16" s="44" t="inlineStr">
        <is>
          <t>Museo Preistorico Etnografico Pigorini, Roma (EUR)</t>
        </is>
      </c>
      <c r="F16" s="45" t="inlineStr">
        <is>
          <t>Prelúdio (pendente)</t>
        </is>
      </c>
      <c r="G16" s="45" t="n">
        <v>-2500</v>
      </c>
      <c r="H16" s="43" t="n"/>
      <c r="I16" s="43" t="inlineStr">
        <is>
          <t>fora da fila</t>
        </is>
      </c>
    </row>
    <row r="17" ht="23.85" customHeight="1" s="24">
      <c r="A17" s="43" t="n">
        <v>16</v>
      </c>
      <c r="B17" s="44" t="inlineStr">
        <is>
          <t>Prelúdio: da pré-história à véspera de Roma (até 754 a.C.)</t>
        </is>
      </c>
      <c r="C17" s="45" t="inlineStr">
        <is>
          <t>c. 2.200 a.C.</t>
        </is>
      </c>
      <c r="D17" s="44" t="inlineStr">
        <is>
          <t>As domus de janas: tumbas escavadas na rocha da Sardenha</t>
        </is>
      </c>
      <c r="E17" s="44" t="inlineStr">
        <is>
          <t>Necrópole de Sant'Andrea Priu, Bonorva</t>
        </is>
      </c>
      <c r="F17" s="45" t="inlineStr">
        <is>
          <t>Prelúdio (pendente)</t>
        </is>
      </c>
      <c r="G17" s="45" t="n">
        <v>-2200</v>
      </c>
      <c r="H17" s="43" t="n"/>
      <c r="I17" s="43" t="inlineStr">
        <is>
          <t>fora da fila</t>
        </is>
      </c>
    </row>
    <row r="18" ht="23.85" customHeight="1" s="24">
      <c r="A18" s="43" t="n">
        <v>17</v>
      </c>
      <c r="B18" s="44" t="inlineStr">
        <is>
          <t>Prelúdio: da pré-história à véspera de Roma (até 754 a.C.)</t>
        </is>
      </c>
      <c r="C18" s="45" t="inlineStr">
        <is>
          <t>c. 1.800 a.C.</t>
        </is>
      </c>
      <c r="D18" s="44" t="inlineStr">
        <is>
          <t>Nascem os nuraghi da Sardenha</t>
        </is>
      </c>
      <c r="E18" s="44" t="inlineStr">
        <is>
          <t>Su Nuraxi, Barumini</t>
        </is>
      </c>
      <c r="F18" s="45" t="inlineStr">
        <is>
          <t>Prelúdio (pendente)</t>
        </is>
      </c>
      <c r="G18" s="45" t="n">
        <v>-1800</v>
      </c>
      <c r="H18" s="43" t="n"/>
      <c r="I18" s="43" t="inlineStr">
        <is>
          <t>fora da fila</t>
        </is>
      </c>
    </row>
    <row r="19" ht="23.85" customHeight="1" s="24">
      <c r="A19" s="43" t="n">
        <v>18</v>
      </c>
      <c r="B19" s="44" t="inlineStr">
        <is>
          <t>Prelúdio: da pré-história à véspera de Roma (até 754 a.C.)</t>
        </is>
      </c>
      <c r="C19" s="45" t="inlineStr">
        <is>
          <t>c. 1.800 a.C.</t>
        </is>
      </c>
      <c r="D19" s="44" t="inlineStr">
        <is>
          <t>As palafitas dos Alpes e do lago de Garda</t>
        </is>
      </c>
      <c r="E19" s="44" t="inlineStr">
        <is>
          <t>Museu das Palafitas, Ledro</t>
        </is>
      </c>
      <c r="F19" s="45" t="inlineStr">
        <is>
          <t>Prelúdio (pendente)</t>
        </is>
      </c>
      <c r="G19" s="45" t="n">
        <v>-1800</v>
      </c>
      <c r="H19" s="43" t="n"/>
      <c r="I19" s="43" t="inlineStr">
        <is>
          <t>fora da fila</t>
        </is>
      </c>
    </row>
    <row r="20" ht="23.85" customHeight="1" s="24">
      <c r="A20" s="43" t="n">
        <v>19</v>
      </c>
      <c r="B20" s="44" t="inlineStr">
        <is>
          <t>Prelúdio: da pré-história à véspera de Roma (até 754 a.C.)</t>
        </is>
      </c>
      <c r="C20" s="45" t="inlineStr">
        <is>
          <t>c. 1.700 a.C.</t>
        </is>
      </c>
      <c r="D20" s="44" t="inlineStr">
        <is>
          <t>Os Terramare da planície do Pó</t>
        </is>
      </c>
      <c r="E20" s="44" t="inlineStr">
        <is>
          <t>Parco archeologico di Montale</t>
        </is>
      </c>
      <c r="F20" s="45" t="inlineStr">
        <is>
          <t>Prelúdio (pendente)</t>
        </is>
      </c>
      <c r="G20" s="45" t="n">
        <v>-1700</v>
      </c>
      <c r="H20" s="43" t="n"/>
      <c r="I20" s="43" t="inlineStr">
        <is>
          <t>fora da fila</t>
        </is>
      </c>
    </row>
    <row r="21" ht="23.85" customHeight="1" s="24">
      <c r="A21" s="43" t="n">
        <v>20</v>
      </c>
      <c r="B21" s="44" t="inlineStr">
        <is>
          <t>Prelúdio: da pré-história à véspera de Roma (até 754 a.C.)</t>
        </is>
      </c>
      <c r="C21" s="45" t="inlineStr">
        <is>
          <t>c. 1.600 a.C.</t>
        </is>
      </c>
      <c r="D21" s="44" t="inlineStr">
        <is>
          <t>A cultura Apenina: pastores e transumância</t>
        </is>
      </c>
      <c r="E21" s="44" t="inlineStr">
        <is>
          <t>Chieti</t>
        </is>
      </c>
      <c r="F21" s="45" t="inlineStr">
        <is>
          <t>Prelúdio (pendente)</t>
        </is>
      </c>
      <c r="G21" s="45" t="n">
        <v>-1600</v>
      </c>
      <c r="H21" s="43" t="n"/>
      <c r="I21" s="43" t="inlineStr">
        <is>
          <t>fora da fila</t>
        </is>
      </c>
    </row>
    <row r="22" ht="23.85" customHeight="1" s="24">
      <c r="A22" s="43" t="n">
        <v>21</v>
      </c>
      <c r="B22" s="44" t="inlineStr">
        <is>
          <t>Prelúdio: da pré-história à véspera de Roma (até 754 a.C.)</t>
        </is>
      </c>
      <c r="C22" s="45" t="inlineStr">
        <is>
          <t>c. 1.500 a.C.</t>
        </is>
      </c>
      <c r="D22" s="44" t="inlineStr">
        <is>
          <t>Micênicos no Mediterrâneo italiano: Vivara</t>
        </is>
      </c>
      <c r="E22" s="44" t="inlineStr">
        <is>
          <t>Ilha de Vivara</t>
        </is>
      </c>
      <c r="F22" s="45" t="inlineStr">
        <is>
          <t>Prelúdio (pendente)</t>
        </is>
      </c>
      <c r="G22" s="45" t="n">
        <v>-1500</v>
      </c>
      <c r="H22" s="43" t="n"/>
      <c r="I22" s="43" t="inlineStr">
        <is>
          <t>fora da fila</t>
        </is>
      </c>
    </row>
    <row r="23" ht="23.85" customHeight="1" s="24">
      <c r="A23" s="43" t="n">
        <v>22</v>
      </c>
      <c r="B23" s="44" t="inlineStr">
        <is>
          <t>Prelúdio: da pré-história à véspera de Roma (até 754 a.C.)</t>
        </is>
      </c>
      <c r="C23" s="45" t="inlineStr">
        <is>
          <t>c. 1.400 a.C.</t>
        </is>
      </c>
      <c r="D23" s="44" t="inlineStr">
        <is>
          <t>Santuários e poços sagrados da Sardenha nurágica</t>
        </is>
      </c>
      <c r="E23" s="44" t="inlineStr">
        <is>
          <t>Santa Cristina, Paulilatino</t>
        </is>
      </c>
      <c r="F23" s="45" t="inlineStr">
        <is>
          <t>Prelúdio (pendente)</t>
        </is>
      </c>
      <c r="G23" s="45" t="n">
        <v>-1400</v>
      </c>
      <c r="H23" s="43" t="n"/>
      <c r="I23" s="43" t="inlineStr">
        <is>
          <t>fora da fila</t>
        </is>
      </c>
    </row>
    <row r="24" ht="23.85" customHeight="1" s="24">
      <c r="A24" s="43" t="n">
        <v>23</v>
      </c>
      <c r="B24" s="44" t="inlineStr">
        <is>
          <t>Prelúdio: da pré-história à véspera de Roma (até 754 a.C.)</t>
        </is>
      </c>
      <c r="C24" s="45" t="inlineStr">
        <is>
          <t>c. 1.300 a.C.</t>
        </is>
      </c>
      <c r="D24" s="44" t="inlineStr">
        <is>
          <t>Os bronzetti nurágicos: pequenos guerreiros e barcos</t>
        </is>
      </c>
      <c r="E24" s="44" t="inlineStr">
        <is>
          <t>Museo Archeologico Nazionale, Cagliari</t>
        </is>
      </c>
      <c r="F24" s="45" t="inlineStr">
        <is>
          <t>Prelúdio (pendente)</t>
        </is>
      </c>
      <c r="G24" s="45" t="n">
        <v>-1300</v>
      </c>
      <c r="H24" s="43" t="n"/>
      <c r="I24" s="43" t="inlineStr">
        <is>
          <t>fora da fila</t>
        </is>
      </c>
    </row>
    <row r="25" ht="23.85" customHeight="1" s="24">
      <c r="A25" s="43" t="n">
        <v>24</v>
      </c>
      <c r="B25" s="44" t="inlineStr">
        <is>
          <t>Prelúdio: da pré-história à véspera de Roma (até 754 a.C.)</t>
        </is>
      </c>
      <c r="C25" s="45" t="inlineStr">
        <is>
          <t>c. 1.200 a.C.</t>
        </is>
      </c>
      <c r="D25" s="44" t="inlineStr">
        <is>
          <t>O fim da Idade do Bronze: um mundo em mudança</t>
        </is>
      </c>
      <c r="E25" s="44" t="inlineStr">
        <is>
          <t>Museo Preistorico Etnografico Pigorini, Roma (EUR)</t>
        </is>
      </c>
      <c r="F25" s="45" t="inlineStr">
        <is>
          <t>Prelúdio (pendente)</t>
        </is>
      </c>
      <c r="G25" s="45" t="n">
        <v>-1200</v>
      </c>
      <c r="H25" s="43" t="n"/>
      <c r="I25" s="43" t="inlineStr">
        <is>
          <t>fora da fila</t>
        </is>
      </c>
    </row>
    <row r="26" ht="23.85" customHeight="1" s="24">
      <c r="A26" s="43" t="n">
        <v>25</v>
      </c>
      <c r="B26" s="44" t="inlineStr">
        <is>
          <t>Prelúdio: da pré-história à véspera de Roma (até 754 a.C.)</t>
        </is>
      </c>
      <c r="C26" s="45" t="inlineStr">
        <is>
          <t>c. 1.100 a.C.</t>
        </is>
      </c>
      <c r="D26" s="44" t="inlineStr">
        <is>
          <t>O nascimento da cultura de Villanova</t>
        </is>
      </c>
      <c r="E26" s="44" t="inlineStr">
        <is>
          <t>Museo Civico Archeologico, Bolonha</t>
        </is>
      </c>
      <c r="F26" s="45" t="inlineStr">
        <is>
          <t>Prelúdio (pendente)</t>
        </is>
      </c>
      <c r="G26" s="45" t="n">
        <v>-1100</v>
      </c>
      <c r="H26" s="43" t="n"/>
      <c r="I26" s="43" t="inlineStr">
        <is>
          <t>fora da fila</t>
        </is>
      </c>
    </row>
    <row r="27" ht="23.85" customHeight="1" s="24">
      <c r="A27" s="43" t="n">
        <v>26</v>
      </c>
      <c r="B27" s="44" t="inlineStr">
        <is>
          <t>Prelúdio: da pré-história à véspera de Roma (até 754 a.C.)</t>
        </is>
      </c>
      <c r="C27" s="45" t="inlineStr">
        <is>
          <t>c. 1.000 a.C.</t>
        </is>
      </c>
      <c r="D27" s="44" t="inlineStr">
        <is>
          <t>A cultura Latial: as aldeias dos Montes Albanos</t>
        </is>
      </c>
      <c r="E27" s="44" t="inlineStr">
        <is>
          <t>Museo Civico Albano, Albano Laziale</t>
        </is>
      </c>
      <c r="F27" s="45" t="inlineStr">
        <is>
          <t>Prelúdio (pendente)</t>
        </is>
      </c>
      <c r="G27" s="45" t="n">
        <v>-1000</v>
      </c>
      <c r="H27" s="43" t="n"/>
      <c r="I27" s="43" t="inlineStr">
        <is>
          <t>fora da fila</t>
        </is>
      </c>
    </row>
    <row r="28" ht="23.85" customHeight="1" s="24">
      <c r="A28" s="43" t="n">
        <v>27</v>
      </c>
      <c r="B28" s="44" t="inlineStr">
        <is>
          <t>Prelúdio: da pré-história à véspera de Roma (até 754 a.C.)</t>
        </is>
      </c>
      <c r="C28" s="45" t="inlineStr">
        <is>
          <t>c. 1.000 a.C.</t>
        </is>
      </c>
      <c r="D28" s="44" t="inlineStr">
        <is>
          <t>Os Picenos: guerreiros da costa adriática</t>
        </is>
      </c>
      <c r="E28" s="44" t="inlineStr">
        <is>
          <t>Museo Archeologico Nazionale delle Marche, Ancona</t>
        </is>
      </c>
      <c r="F28" s="45" t="inlineStr">
        <is>
          <t>Prelúdio (pendente)</t>
        </is>
      </c>
      <c r="G28" s="45" t="n">
        <v>-1000</v>
      </c>
      <c r="H28" s="43" t="n"/>
      <c r="I28" s="43" t="inlineStr">
        <is>
          <t>fora da fila</t>
        </is>
      </c>
    </row>
    <row r="29" ht="23.85" customHeight="1" s="24">
      <c r="A29" s="43" t="n">
        <v>28</v>
      </c>
      <c r="B29" s="44" t="inlineStr">
        <is>
          <t>Prelúdio: da pré-história à véspera de Roma (até 754 a.C.)</t>
        </is>
      </c>
      <c r="C29" s="45" t="inlineStr">
        <is>
          <t>c. 900 a.C.</t>
        </is>
      </c>
      <c r="D29" s="44" t="inlineStr">
        <is>
          <t>Villanova: os antepassados dos etruscos?</t>
        </is>
      </c>
      <c r="E29" s="44" t="inlineStr">
        <is>
          <t>Museo Civico Archeologico, Bolonha</t>
        </is>
      </c>
      <c r="F29" s="45" t="inlineStr">
        <is>
          <t>Prelúdio (pendente)</t>
        </is>
      </c>
      <c r="G29" s="45" t="n">
        <v>-900</v>
      </c>
      <c r="H29" s="43" t="n"/>
      <c r="I29" s="43" t="inlineStr">
        <is>
          <t>fora da fila</t>
        </is>
      </c>
    </row>
    <row r="30" ht="23.85" customHeight="1" s="24">
      <c r="A30" s="43" t="n">
        <v>29</v>
      </c>
      <c r="B30" s="44" t="inlineStr">
        <is>
          <t>Prelúdio: da pré-história à véspera de Roma (até 754 a.C.)</t>
        </is>
      </c>
      <c r="C30" s="45" t="inlineStr">
        <is>
          <t>c. 900 a.C.</t>
        </is>
      </c>
      <c r="D30" s="44" t="inlineStr">
        <is>
          <t>Fenícios no Ocidente: a ilha de Mozia</t>
        </is>
      </c>
      <c r="E30" s="44" t="inlineStr">
        <is>
          <t>Isola di Mozia, Marsala</t>
        </is>
      </c>
      <c r="F30" s="45" t="inlineStr">
        <is>
          <t>Prelúdio (pendente)</t>
        </is>
      </c>
      <c r="G30" s="45" t="n">
        <v>-900</v>
      </c>
      <c r="H30" s="43" t="n"/>
      <c r="I30" s="43" t="inlineStr">
        <is>
          <t>fora da fila</t>
        </is>
      </c>
    </row>
    <row r="31" ht="23.85" customHeight="1" s="24">
      <c r="A31" s="43" t="n">
        <v>30</v>
      </c>
      <c r="B31" s="44" t="inlineStr">
        <is>
          <t>Prelúdio: da pré-história à véspera de Roma (até 754 a.C.)</t>
        </is>
      </c>
      <c r="C31" s="45" t="inlineStr">
        <is>
          <t>c. 850 a.C.</t>
        </is>
      </c>
      <c r="D31" s="44" t="inlineStr">
        <is>
          <t>Sículos, sicanos e élimos: os povos da Sicília</t>
        </is>
      </c>
      <c r="E31" s="44" t="inlineStr">
        <is>
          <t>Museo Archeologico Regionale Salinas, Palermo</t>
        </is>
      </c>
      <c r="F31" s="45" t="inlineStr">
        <is>
          <t>Prelúdio (pendente)</t>
        </is>
      </c>
      <c r="G31" s="45" t="n">
        <v>-850</v>
      </c>
      <c r="H31" s="43" t="n"/>
      <c r="I31" s="43" t="inlineStr">
        <is>
          <t>fora da fila</t>
        </is>
      </c>
    </row>
    <row r="32" ht="23.85" customHeight="1" s="24">
      <c r="A32" s="43" t="n">
        <v>31</v>
      </c>
      <c r="B32" s="44" t="inlineStr">
        <is>
          <t>Prelúdio: da pré-história à véspera de Roma (até 754 a.C.)</t>
        </is>
      </c>
      <c r="C32" s="45" t="inlineStr">
        <is>
          <t>c. 800 a.C.</t>
        </is>
      </c>
      <c r="D32" s="44" t="inlineStr">
        <is>
          <t>Golasecca: os primeiros celtas do norte</t>
        </is>
      </c>
      <c r="E32" s="44" t="inlineStr">
        <is>
          <t>Sesto Calende</t>
        </is>
      </c>
      <c r="F32" s="45" t="inlineStr">
        <is>
          <t>Prelúdio (pendente)</t>
        </is>
      </c>
      <c r="G32" s="45" t="n">
        <v>-800</v>
      </c>
      <c r="H32" s="43" t="n"/>
      <c r="I32" s="43" t="inlineStr">
        <is>
          <t>fora da fila</t>
        </is>
      </c>
    </row>
    <row r="33" ht="23.85" customHeight="1" s="24">
      <c r="A33" s="43" t="n">
        <v>32</v>
      </c>
      <c r="B33" s="44" t="inlineStr">
        <is>
          <t>Prelúdio: da pré-história à véspera de Roma (até 754 a.C.)</t>
        </is>
      </c>
      <c r="C33" s="45" t="inlineStr">
        <is>
          <t>c. 800 a.C.</t>
        </is>
      </c>
      <c r="D33" s="44" t="inlineStr">
        <is>
          <t>Os Vénetos e a cidade de Este</t>
        </is>
      </c>
      <c r="E33" s="44" t="inlineStr">
        <is>
          <t>Museo Nazionale Atestino, Este</t>
        </is>
      </c>
      <c r="F33" s="45" t="inlineStr">
        <is>
          <t>Prelúdio (pendente)</t>
        </is>
      </c>
      <c r="G33" s="45" t="n">
        <v>-800</v>
      </c>
      <c r="H33" s="43" t="n"/>
      <c r="I33" s="43" t="inlineStr">
        <is>
          <t>fora da fila</t>
        </is>
      </c>
    </row>
    <row r="34" ht="23.85" customHeight="1" s="24">
      <c r="A34" s="43" t="n">
        <v>33</v>
      </c>
      <c r="B34" s="44" t="inlineStr">
        <is>
          <t>Prelúdio: da pré-história à véspera de Roma (até 754 a.C.)</t>
        </is>
      </c>
      <c r="C34" s="45" t="inlineStr">
        <is>
          <t>c. 800 a.C.</t>
        </is>
      </c>
      <c r="D34" s="44" t="inlineStr">
        <is>
          <t>Messápios e Dáunios: os povos da Apúlia</t>
        </is>
      </c>
      <c r="E34" s="44" t="inlineStr">
        <is>
          <t>Museo Archeologico Nazionale MArTA, Taranto</t>
        </is>
      </c>
      <c r="F34" s="45" t="inlineStr">
        <is>
          <t>Prelúdio (pendente)</t>
        </is>
      </c>
      <c r="G34" s="45" t="n">
        <v>-800</v>
      </c>
      <c r="H34" s="43" t="n"/>
      <c r="I34" s="43" t="inlineStr">
        <is>
          <t>fora da fila</t>
        </is>
      </c>
    </row>
    <row r="35" ht="23.85" customHeight="1" s="24">
      <c r="A35" s="43" t="n">
        <v>34</v>
      </c>
      <c r="B35" s="44" t="inlineStr">
        <is>
          <t>Prelúdio: da pré-história à véspera de Roma (até 754 a.C.)</t>
        </is>
      </c>
      <c r="C35" s="45" t="inlineStr">
        <is>
          <t>c. 800 a.C.</t>
        </is>
      </c>
      <c r="D35" s="44" t="inlineStr">
        <is>
          <t>Os povos itálicos do Apenino</t>
        </is>
      </c>
      <c r="E35" s="44" t="inlineStr">
        <is>
          <t>Museo Sannitico, Campobasso</t>
        </is>
      </c>
      <c r="F35" s="45" t="inlineStr">
        <is>
          <t>Prelúdio (pendente)</t>
        </is>
      </c>
      <c r="G35" s="45" t="n">
        <v>-800</v>
      </c>
      <c r="H35" s="43" t="n"/>
      <c r="I35" s="43" t="inlineStr">
        <is>
          <t>fora da fila</t>
        </is>
      </c>
    </row>
    <row r="36" ht="23.85" customHeight="1" s="24">
      <c r="A36" s="43" t="n">
        <v>35</v>
      </c>
      <c r="B36" s="44" t="inlineStr">
        <is>
          <t>Prelúdio: da pré-história à véspera de Roma (até 754 a.C.)</t>
        </is>
      </c>
      <c r="C36" s="45" t="inlineStr">
        <is>
          <t>c. 780 a.C.</t>
        </is>
      </c>
      <c r="D36" s="44" t="inlineStr">
        <is>
          <t>Alba Longa e a Liga Latina</t>
        </is>
      </c>
      <c r="E36" s="44" t="inlineStr">
        <is>
          <t>Lago Albano, Castel Gandolfo</t>
        </is>
      </c>
      <c r="F36" s="45" t="inlineStr">
        <is>
          <t>Prelúdio (pendente)</t>
        </is>
      </c>
      <c r="G36" s="45" t="n">
        <v>-780</v>
      </c>
      <c r="H36" s="43" t="n"/>
      <c r="I36" s="43" t="inlineStr">
        <is>
          <t>fora da fila</t>
        </is>
      </c>
    </row>
    <row r="37" ht="23.85" customHeight="1" s="24">
      <c r="A37" s="43" t="n">
        <v>36</v>
      </c>
      <c r="B37" s="44" t="inlineStr">
        <is>
          <t>Prelúdio: da pré-história à véspera de Roma (até 754 a.C.)</t>
        </is>
      </c>
      <c r="C37" s="45" t="inlineStr">
        <is>
          <t>770 a.C.</t>
        </is>
      </c>
      <c r="D37" s="44" t="inlineStr">
        <is>
          <t>Pitecusa: os gregos chegam à Itália</t>
        </is>
      </c>
      <c r="E37" s="44" t="inlineStr">
        <is>
          <t>Villa Arbusto, Ischia</t>
        </is>
      </c>
      <c r="F37" s="45" t="inlineStr">
        <is>
          <t>Prelúdio (pendente)</t>
        </is>
      </c>
      <c r="G37" s="45" t="n">
        <v>-770</v>
      </c>
      <c r="H37" s="43" t="n"/>
      <c r="I37" s="43" t="inlineStr">
        <is>
          <t>fora da fila</t>
        </is>
      </c>
    </row>
    <row r="38" ht="23.85" customHeight="1" s="24">
      <c r="A38" s="43" t="n">
        <v>37</v>
      </c>
      <c r="B38" s="44" t="inlineStr">
        <is>
          <t>Prelúdio: da pré-história à véspera de Roma (até 754 a.C.)</t>
        </is>
      </c>
      <c r="C38" s="45" t="inlineStr">
        <is>
          <t>c. 770 a.C.</t>
        </is>
      </c>
      <c r="D38" s="44" t="inlineStr">
        <is>
          <t>O alfabeto chega à península</t>
        </is>
      </c>
      <c r="E38" s="44" t="inlineStr">
        <is>
          <t>Museo Nazionale Etrusco di Villa Giulia, Roma</t>
        </is>
      </c>
      <c r="F38" s="45" t="inlineStr">
        <is>
          <t>Prelúdio (pendente)</t>
        </is>
      </c>
      <c r="G38" s="45" t="n">
        <v>-770</v>
      </c>
      <c r="H38" s="43" t="n"/>
      <c r="I38" s="43" t="inlineStr">
        <is>
          <t>fora da fila</t>
        </is>
      </c>
    </row>
    <row r="39" ht="23.85" customHeight="1" s="24">
      <c r="A39" s="43" t="n">
        <v>38</v>
      </c>
      <c r="B39" s="44" t="inlineStr">
        <is>
          <t>Prelúdio: da pré-história à véspera de Roma (até 754 a.C.)</t>
        </is>
      </c>
      <c r="C39" s="45" t="inlineStr">
        <is>
          <t>c. 760 a.C.</t>
        </is>
      </c>
      <c r="D39" s="44" t="inlineStr">
        <is>
          <t>As colinas de Roma antes de Roma</t>
        </is>
      </c>
      <c r="E39" s="44" t="inlineStr">
        <is>
          <t>Palatino</t>
        </is>
      </c>
      <c r="F39" s="45" t="inlineStr">
        <is>
          <t>Prelúdio (pendente)</t>
        </is>
      </c>
      <c r="G39" s="45" t="n">
        <v>-760</v>
      </c>
      <c r="H39" s="43" t="n"/>
      <c r="I39" s="43" t="inlineStr">
        <is>
          <t>fora da fila</t>
        </is>
      </c>
    </row>
    <row r="40" ht="23.85" customHeight="1" s="24">
      <c r="A40" s="43" t="n">
        <v>39</v>
      </c>
      <c r="B40" s="44" t="inlineStr">
        <is>
          <t>Prelúdio: da pré-história à véspera de Roma (até 754 a.C.)</t>
        </is>
      </c>
      <c r="C40" s="45" t="inlineStr">
        <is>
          <t>c. 755 a.C.</t>
        </is>
      </c>
      <c r="D40" s="44" t="inlineStr">
        <is>
          <t>Evandro, Eneias e as lendas anteriores a Rômulo</t>
        </is>
      </c>
      <c r="E40" s="44" t="inlineStr">
        <is>
          <t>Palatino</t>
        </is>
      </c>
      <c r="F40" s="45" t="inlineStr">
        <is>
          <t>Prelúdio (pendente)</t>
        </is>
      </c>
      <c r="G40" s="45" t="n">
        <v>-755</v>
      </c>
      <c r="H40" s="43" t="n"/>
      <c r="I40" s="43" t="inlineStr">
        <is>
          <t>fora da fila</t>
        </is>
      </c>
    </row>
    <row r="41" ht="23.85" customHeight="1" s="24">
      <c r="A41" s="43" t="n">
        <v>40</v>
      </c>
      <c r="B41" s="44" t="inlineStr">
        <is>
          <t>Prelúdio: da pré-história à véspera de Roma (até 754 a.C.)</t>
        </is>
      </c>
      <c r="C41" s="45" t="inlineStr">
        <is>
          <t>c. 740 a.C.</t>
        </is>
      </c>
      <c r="D41" s="44" t="inlineStr">
        <is>
          <t>A Taça de Nestor e a escrita na Itália</t>
        </is>
      </c>
      <c r="E41" s="44" t="inlineStr">
        <is>
          <t>Villa Arbusto, Ischia</t>
        </is>
      </c>
      <c r="F41" s="45" t="inlineStr">
        <is>
          <t>Prelúdio (pendente)</t>
        </is>
      </c>
      <c r="G41" s="45" t="n">
        <v>-740</v>
      </c>
      <c r="H41" s="43" t="n"/>
      <c r="I41" s="43" t="inlineStr">
        <is>
          <t>fora da fila</t>
        </is>
      </c>
    </row>
    <row r="42" ht="23.85" customHeight="1" s="24">
      <c r="A42" s="43" t="n">
        <v>41</v>
      </c>
      <c r="B42" s="44" t="inlineStr">
        <is>
          <t>Roma régia e a Itália arcaica (753–510 a.C.)</t>
        </is>
      </c>
      <c r="C42" s="45" t="inlineStr">
        <is>
          <t>753 a.C.</t>
        </is>
      </c>
      <c r="D42" s="44" t="inlineStr">
        <is>
          <t>Como Roma nasceu: entre a loba, os etruscos e a arqueologia</t>
        </is>
      </c>
      <c r="E42" s="44" t="inlineStr">
        <is>
          <t>Palatino, Roma</t>
        </is>
      </c>
      <c r="F42" s="45" t="inlineStr">
        <is>
          <t>Publicado</t>
        </is>
      </c>
      <c r="G42" s="45" t="n">
        <v>-753</v>
      </c>
      <c r="H42" s="43" t="n"/>
      <c r="I42" s="43" t="inlineStr">
        <is>
          <t>publicado</t>
        </is>
      </c>
    </row>
    <row r="43" ht="23.85" customHeight="1" s="24">
      <c r="A43" s="43" t="n">
        <v>42</v>
      </c>
      <c r="B43" s="44" t="inlineStr">
        <is>
          <t>Roma régia e a Itália arcaica (753–510 a.C.)</t>
        </is>
      </c>
      <c r="C43" s="45" t="inlineStr">
        <is>
          <t>753 a.C.</t>
        </is>
      </c>
      <c r="D43" s="44" t="inlineStr">
        <is>
          <t>Rômulo e Remo: anatomia de uma lenda</t>
        </is>
      </c>
      <c r="E43" s="44" t="inlineStr">
        <is>
          <t>Museus Capitolinos (Loba Capitolina), Roma</t>
        </is>
      </c>
      <c r="F43" s="45" t="inlineStr">
        <is>
          <t>Pendente</t>
        </is>
      </c>
      <c r="G43" s="45" t="n">
        <v>-753</v>
      </c>
      <c r="H43" s="43" t="n"/>
      <c r="I43" s="43" t="inlineStr">
        <is>
          <t>fora da fila</t>
        </is>
      </c>
    </row>
    <row r="44" ht="23.85" customHeight="1" s="24">
      <c r="A44" s="43" t="n">
        <v>43</v>
      </c>
      <c r="B44" s="44" t="inlineStr">
        <is>
          <t>Roma régia e a Itália arcaica (753–510 a.C.)</t>
        </is>
      </c>
      <c r="C44" s="45" t="inlineStr">
        <is>
          <t>753 a.C.</t>
        </is>
      </c>
      <c r="D44" s="44" t="inlineStr">
        <is>
          <t>A cabana de Rômulo e as aldeias do Palatino</t>
        </is>
      </c>
      <c r="E44" s="44" t="inlineStr">
        <is>
          <t>Palatino, Roma</t>
        </is>
      </c>
      <c r="F44" s="45" t="inlineStr">
        <is>
          <t>Pendente</t>
        </is>
      </c>
      <c r="G44" s="45" t="n">
        <v>-753</v>
      </c>
      <c r="H44" s="43" t="n"/>
      <c r="I44" s="43" t="inlineStr">
        <is>
          <t>fora da fila</t>
        </is>
      </c>
    </row>
    <row r="45" ht="23.85" customHeight="1" s="24">
      <c r="A45" s="43" t="n">
        <v>44</v>
      </c>
      <c r="B45" s="44" t="inlineStr">
        <is>
          <t>Roma régia e a Itália arcaica (753–510 a.C.)</t>
        </is>
      </c>
      <c r="C45" s="45" t="inlineStr">
        <is>
          <t>752 a.C.</t>
        </is>
      </c>
      <c r="D45" s="44" t="inlineStr">
        <is>
          <t>Os Lupercais: a festa mais antiga de Roma</t>
        </is>
      </c>
      <c r="E45" s="44" t="inlineStr">
        <is>
          <t>Palatino, Roma</t>
        </is>
      </c>
      <c r="F45" s="45" t="inlineStr">
        <is>
          <t>Pendente</t>
        </is>
      </c>
      <c r="G45" s="45" t="n">
        <v>-752</v>
      </c>
      <c r="H45" s="43" t="n"/>
      <c r="I45" s="43" t="inlineStr">
        <is>
          <t>fora da fila</t>
        </is>
      </c>
    </row>
    <row r="46" ht="23.85" customHeight="1" s="24">
      <c r="A46" s="43" t="n">
        <v>45</v>
      </c>
      <c r="B46" s="44" t="inlineStr">
        <is>
          <t>Roma régia e a Itália arcaica (753–510 a.C.)</t>
        </is>
      </c>
      <c r="C46" s="45" t="inlineStr">
        <is>
          <t>750 a.C.</t>
        </is>
      </c>
      <c r="D46" s="44" t="inlineStr">
        <is>
          <t>Os etruscos: o povo que moldou Roma antes de Roma</t>
        </is>
      </c>
      <c r="E46" s="44" t="inlineStr">
        <is>
          <t>Museo Nazionale Etrusco di Villa Giulia, Roma</t>
        </is>
      </c>
      <c r="F46" s="45" t="inlineStr">
        <is>
          <t>Publicado</t>
        </is>
      </c>
      <c r="G46" s="45" t="n">
        <v>-750</v>
      </c>
      <c r="H46" s="43" t="n"/>
      <c r="I46" s="43" t="inlineStr">
        <is>
          <t>publicado</t>
        </is>
      </c>
    </row>
    <row r="47" ht="23.85" customHeight="1" s="24">
      <c r="A47" s="43" t="n">
        <v>46</v>
      </c>
      <c r="B47" s="44" t="inlineStr">
        <is>
          <t>Roma régia e a Itália arcaica (753–510 a.C.)</t>
        </is>
      </c>
      <c r="C47" s="45" t="inlineStr">
        <is>
          <t>750 a.C.</t>
        </is>
      </c>
      <c r="D47" s="44" t="inlineStr">
        <is>
          <t>O Asilo de Rômulo e o rapto das Sabinas</t>
        </is>
      </c>
      <c r="E47" s="44" t="inlineStr">
        <is>
          <t>Capitólio, Roma</t>
        </is>
      </c>
      <c r="F47" s="45" t="inlineStr">
        <is>
          <t>Publicado</t>
        </is>
      </c>
      <c r="G47" s="45" t="n">
        <v>-750</v>
      </c>
      <c r="H47" s="43" t="n">
        <v>0</v>
      </c>
      <c r="I47" s="46">
        <f>IF(H47=0,DATE(2026,10,29),IF(H47=1,DATE(2026,10,30),DATE(2026,11,2)+7*INT((H47-2)/3)+CHOOSE(MOD(H47-2,3)+1,0,2,4)))</f>
        <v/>
      </c>
    </row>
    <row r="48" ht="23.85" customHeight="1" s="24">
      <c r="A48" s="43" t="n">
        <v>47</v>
      </c>
      <c r="B48" s="44" t="inlineStr">
        <is>
          <t>Roma régia e a Itália arcaica (753–510 a.C.)</t>
        </is>
      </c>
      <c r="C48" s="45" t="inlineStr">
        <is>
          <t>745 a.C.</t>
        </is>
      </c>
      <c r="D48" s="44" t="inlineStr">
        <is>
          <t>A guerra sabina e a paz de Tito Tácio</t>
        </is>
      </c>
      <c r="E48" s="44" t="inlineStr">
        <is>
          <t>Fórum Romano, Roma</t>
        </is>
      </c>
      <c r="F48" s="45" t="inlineStr">
        <is>
          <t>Pendente</t>
        </is>
      </c>
      <c r="G48" s="45" t="n">
        <v>-745</v>
      </c>
      <c r="H48" s="43" t="n">
        <v>1</v>
      </c>
      <c r="I48" s="46">
        <f>IF(H48=0,DATE(2026,10,29),IF(H48=1,DATE(2026,10,30),DATE(2026,11,2)+7*INT((H48-2)/3)+CHOOSE(MOD(H48-2,3)+1,0,2,4)))</f>
        <v/>
      </c>
    </row>
    <row r="49" ht="23.85" customHeight="1" s="24">
      <c r="A49" s="43" t="n">
        <v>48</v>
      </c>
      <c r="B49" s="44" t="inlineStr">
        <is>
          <t>Roma régia e a Itália arcaica (753–510 a.C.)</t>
        </is>
      </c>
      <c r="C49" s="45" t="inlineStr">
        <is>
          <t>740 a.C.</t>
        </is>
      </c>
      <c r="D49" s="44" t="inlineStr">
        <is>
          <t>O Senado e as cúrias: as primeiras instituições</t>
        </is>
      </c>
      <c r="E49" s="44" t="inlineStr">
        <is>
          <t>Cúria Júlia, Fórum Romano, Roma</t>
        </is>
      </c>
      <c r="F49" s="45" t="inlineStr">
        <is>
          <t>Pendente</t>
        </is>
      </c>
      <c r="G49" s="45" t="n">
        <v>-740</v>
      </c>
      <c r="H49" s="43" t="n">
        <v>2</v>
      </c>
      <c r="I49" s="46">
        <f>IF(H49=0,DATE(2026,10,29),IF(H49=1,DATE(2026,10,30),DATE(2026,11,2)+7*INT((H49-2)/3)+CHOOSE(MOD(H49-2,3)+1,0,2,4)))</f>
        <v/>
      </c>
    </row>
    <row r="50" ht="23.85" customHeight="1" s="24">
      <c r="A50" s="43" t="n">
        <v>49</v>
      </c>
      <c r="B50" s="44" t="inlineStr">
        <is>
          <t>Roma régia e a Itália arcaica (753–510 a.C.)</t>
        </is>
      </c>
      <c r="C50" s="45" t="inlineStr">
        <is>
          <t>737 a.C.</t>
        </is>
      </c>
      <c r="D50" s="44" t="inlineStr">
        <is>
          <t>O Pomério: a fronteira sagrada de Roma</t>
        </is>
      </c>
      <c r="E50" s="44" t="inlineStr">
        <is>
          <t>Fórum Romano, Roma</t>
        </is>
      </c>
      <c r="F50" s="45" t="inlineStr">
        <is>
          <t>Pendente</t>
        </is>
      </c>
      <c r="G50" s="45" t="n">
        <v>-737</v>
      </c>
      <c r="H50" s="43" t="n">
        <v>3</v>
      </c>
      <c r="I50" s="46">
        <f>IF(H50=0,DATE(2026,10,29),IF(H50=1,DATE(2026,10,30),DATE(2026,11,2)+7*INT((H50-2)/3)+CHOOSE(MOD(H50-2,3)+1,0,2,4)))</f>
        <v/>
      </c>
    </row>
    <row r="51" ht="23.85" customHeight="1" s="24">
      <c r="A51" s="43" t="n">
        <v>50</v>
      </c>
      <c r="B51" s="44" t="inlineStr">
        <is>
          <t>Roma régia e a Itália arcaica (753–510 a.C.)</t>
        </is>
      </c>
      <c r="C51" s="45" t="inlineStr">
        <is>
          <t>c. 730 a.C.</t>
        </is>
      </c>
      <c r="D51" s="44" t="inlineStr">
        <is>
          <t>Siracusa: a colônia grega mais poderosa do Ocidente</t>
        </is>
      </c>
      <c r="E51" s="44" t="inlineStr">
        <is>
          <t>Ortigia, Siracusa</t>
        </is>
      </c>
      <c r="F51" s="45" t="inlineStr">
        <is>
          <t>Pendente</t>
        </is>
      </c>
      <c r="G51" s="45" t="n">
        <v>-730</v>
      </c>
      <c r="H51" s="43" t="n">
        <v>4</v>
      </c>
      <c r="I51" s="46">
        <f>IF(H51=0,DATE(2026,10,29),IF(H51=1,DATE(2026,10,30),DATE(2026,11,2)+7*INT((H51-2)/3)+CHOOSE(MOD(H51-2,3)+1,0,2,4)))</f>
        <v/>
      </c>
    </row>
    <row r="52" ht="23.85" customHeight="1" s="24">
      <c r="A52" s="43" t="n">
        <v>51</v>
      </c>
      <c r="B52" s="44" t="inlineStr">
        <is>
          <t>Roma régia e a Itália arcaica (753–510 a.C.)</t>
        </is>
      </c>
      <c r="C52" s="45" t="inlineStr">
        <is>
          <t>c. 730 a.C.</t>
        </is>
      </c>
      <c r="D52" s="44" t="inlineStr">
        <is>
          <t>Naxos e Leontinoi: os gregos na Sicília</t>
        </is>
      </c>
      <c r="E52" s="44" t="inlineStr">
        <is>
          <t>Giardini Naxos</t>
        </is>
      </c>
      <c r="F52" s="45" t="inlineStr">
        <is>
          <t>Pendente</t>
        </is>
      </c>
      <c r="G52" s="45" t="n">
        <v>-730</v>
      </c>
      <c r="H52" s="43" t="n">
        <v>5</v>
      </c>
      <c r="I52" s="46">
        <f>IF(H52=0,DATE(2026,10,29),IF(H52=1,DATE(2026,10,30),DATE(2026,11,2)+7*INT((H52-2)/3)+CHOOSE(MOD(H52-2,3)+1,0,2,4)))</f>
        <v/>
      </c>
    </row>
    <row r="53" ht="23.85" customHeight="1" s="24">
      <c r="A53" s="43" t="n">
        <v>52</v>
      </c>
      <c r="B53" s="44" t="inlineStr">
        <is>
          <t>Roma régia e a Itália arcaica (753–510 a.C.)</t>
        </is>
      </c>
      <c r="C53" s="45" t="inlineStr">
        <is>
          <t>c. 720 a.C.</t>
        </is>
      </c>
      <c r="D53" s="44" t="inlineStr">
        <is>
          <t>Sibari, a cidade do luxo</t>
        </is>
      </c>
      <c r="E53" s="44" t="inlineStr">
        <is>
          <t>Parco Archeologico di Sibari</t>
        </is>
      </c>
      <c r="F53" s="45" t="inlineStr">
        <is>
          <t>Pendente</t>
        </is>
      </c>
      <c r="G53" s="45" t="n">
        <v>-720</v>
      </c>
      <c r="H53" s="43" t="n">
        <v>6</v>
      </c>
      <c r="I53" s="46">
        <f>IF(H53=0,DATE(2026,10,29),IF(H53=1,DATE(2026,10,30),DATE(2026,11,2)+7*INT((H53-2)/3)+CHOOSE(MOD(H53-2,3)+1,0,2,4)))</f>
        <v/>
      </c>
    </row>
    <row r="54" ht="23.85" customHeight="1" s="24">
      <c r="A54" s="43" t="n">
        <v>53</v>
      </c>
      <c r="B54" s="44" t="inlineStr">
        <is>
          <t>Roma régia e a Itália arcaica (753–510 a.C.)</t>
        </is>
      </c>
      <c r="C54" s="45" t="inlineStr">
        <is>
          <t>716 a.C.</t>
        </is>
      </c>
      <c r="D54" s="44" t="inlineStr">
        <is>
          <t>A morte e a apoteose de Rômulo</t>
        </is>
      </c>
      <c r="E54" s="44" t="inlineStr">
        <is>
          <t>Fórum Romano, Roma</t>
        </is>
      </c>
      <c r="F54" s="45" t="inlineStr">
        <is>
          <t>Pendente</t>
        </is>
      </c>
      <c r="G54" s="45" t="n">
        <v>-716</v>
      </c>
      <c r="H54" s="43" t="n">
        <v>7</v>
      </c>
      <c r="I54" s="46">
        <f>IF(H54=0,DATE(2026,10,29),IF(H54=1,DATE(2026,10,30),DATE(2026,11,2)+7*INT((H54-2)/3)+CHOOSE(MOD(H54-2,3)+1,0,2,4)))</f>
        <v/>
      </c>
    </row>
    <row r="55" ht="23.85" customHeight="1" s="24">
      <c r="A55" s="43" t="n">
        <v>54</v>
      </c>
      <c r="B55" s="44" t="inlineStr">
        <is>
          <t>Roma régia e a Itália arcaica (753–510 a.C.)</t>
        </is>
      </c>
      <c r="C55" s="45" t="inlineStr">
        <is>
          <t>715 a.C.</t>
        </is>
      </c>
      <c r="D55" s="44" t="inlineStr">
        <is>
          <t>Numa Pompílio: o rei sacerdote</t>
        </is>
      </c>
      <c r="E55" s="44" t="inlineStr">
        <is>
          <t>Fórum Romano, Roma</t>
        </is>
      </c>
      <c r="F55" s="45" t="inlineStr">
        <is>
          <t>Pendente</t>
        </is>
      </c>
      <c r="G55" s="45" t="n">
        <v>-715</v>
      </c>
      <c r="H55" s="43" t="n">
        <v>8</v>
      </c>
      <c r="I55" s="46">
        <f>IF(H55=0,DATE(2026,10,29),IF(H55=1,DATE(2026,10,30),DATE(2026,11,2)+7*INT((H55-2)/3)+CHOOSE(MOD(H55-2,3)+1,0,2,4)))</f>
        <v/>
      </c>
    </row>
    <row r="56" ht="23.85" customHeight="1" s="24">
      <c r="A56" s="43" t="n">
        <v>55</v>
      </c>
      <c r="B56" s="44" t="inlineStr">
        <is>
          <t>Roma régia e a Itália arcaica (753–510 a.C.)</t>
        </is>
      </c>
      <c r="C56" s="45" t="inlineStr">
        <is>
          <t>c. 710 a.C.</t>
        </is>
      </c>
      <c r="D56" s="44" t="inlineStr">
        <is>
          <t>Crotone e as origens do esporte grego no Ocidente</t>
        </is>
      </c>
      <c r="E56" s="44" t="inlineStr">
        <is>
          <t>Capo Colonna, Crotone</t>
        </is>
      </c>
      <c r="F56" s="45" t="inlineStr">
        <is>
          <t>Pendente</t>
        </is>
      </c>
      <c r="G56" s="45" t="n">
        <v>-710</v>
      </c>
      <c r="H56" s="43" t="n">
        <v>9</v>
      </c>
      <c r="I56" s="46">
        <f>IF(H56=0,DATE(2026,10,29),IF(H56=1,DATE(2026,10,30),DATE(2026,11,2)+7*INT((H56-2)/3)+CHOOSE(MOD(H56-2,3)+1,0,2,4)))</f>
        <v/>
      </c>
    </row>
    <row r="57" ht="23.85" customHeight="1" s="24">
      <c r="A57" s="43" t="n">
        <v>56</v>
      </c>
      <c r="B57" s="44" t="inlineStr">
        <is>
          <t>Roma régia e a Itália arcaica (753–510 a.C.)</t>
        </is>
      </c>
      <c r="C57" s="45" t="inlineStr">
        <is>
          <t>710 a.C.</t>
        </is>
      </c>
      <c r="D57" s="44" t="inlineStr">
        <is>
          <t>As Vestais e o fogo de Roma</t>
        </is>
      </c>
      <c r="E57" s="44" t="inlineStr">
        <is>
          <t>Casa das Vestais, Fórum Romano, Roma</t>
        </is>
      </c>
      <c r="F57" s="45" t="inlineStr">
        <is>
          <t>Pendente</t>
        </is>
      </c>
      <c r="G57" s="45" t="n">
        <v>-710</v>
      </c>
      <c r="H57" s="43" t="n">
        <v>10</v>
      </c>
      <c r="I57" s="46">
        <f>IF(H57=0,DATE(2026,10,29),IF(H57=1,DATE(2026,10,30),DATE(2026,11,2)+7*INT((H57-2)/3)+CHOOSE(MOD(H57-2,3)+1,0,2,4)))</f>
        <v/>
      </c>
    </row>
    <row r="58" ht="23.85" customHeight="1" s="24">
      <c r="A58" s="43" t="n">
        <v>57</v>
      </c>
      <c r="B58" s="44" t="inlineStr">
        <is>
          <t>Roma régia e a Itália arcaica (753–510 a.C.)</t>
        </is>
      </c>
      <c r="C58" s="45" t="inlineStr">
        <is>
          <t>708 a.C.</t>
        </is>
      </c>
      <c r="D58" s="44" t="inlineStr">
        <is>
          <t>O calendário de Numa</t>
        </is>
      </c>
      <c r="E58" s="44" t="inlineStr">
        <is>
          <t>Fórum Romano, Roma</t>
        </is>
      </c>
      <c r="F58" s="45" t="inlineStr">
        <is>
          <t>Pendente</t>
        </is>
      </c>
      <c r="G58" s="45" t="n">
        <v>-708</v>
      </c>
      <c r="H58" s="43" t="n">
        <v>11</v>
      </c>
      <c r="I58" s="46">
        <f>IF(H58=0,DATE(2026,10,29),IF(H58=1,DATE(2026,10,30),DATE(2026,11,2)+7*INT((H58-2)/3)+CHOOSE(MOD(H58-2,3)+1,0,2,4)))</f>
        <v/>
      </c>
    </row>
    <row r="59" ht="23.85" customHeight="1" s="24">
      <c r="A59" s="43" t="n">
        <v>58</v>
      </c>
      <c r="B59" s="44" t="inlineStr">
        <is>
          <t>Roma régia e a Itália arcaica (753–510 a.C.)</t>
        </is>
      </c>
      <c r="C59" s="45" t="inlineStr">
        <is>
          <t>c. 706 a.C.</t>
        </is>
      </c>
      <c r="D59" s="44" t="inlineStr">
        <is>
          <t>Tarento e os Partênios</t>
        </is>
      </c>
      <c r="E59" s="44" t="inlineStr">
        <is>
          <t>Museu MArTA, Taranto</t>
        </is>
      </c>
      <c r="F59" s="45" t="inlineStr">
        <is>
          <t>Pendente</t>
        </is>
      </c>
      <c r="G59" s="45" t="n">
        <v>-706</v>
      </c>
      <c r="H59" s="43" t="n">
        <v>12</v>
      </c>
      <c r="I59" s="46">
        <f>IF(H59=0,DATE(2026,10,29),IF(H59=1,DATE(2026,10,30),DATE(2026,11,2)+7*INT((H59-2)/3)+CHOOSE(MOD(H59-2,3)+1,0,2,4)))</f>
        <v/>
      </c>
    </row>
    <row r="60" ht="23.85" customHeight="1" s="24">
      <c r="A60" s="43" t="n">
        <v>59</v>
      </c>
      <c r="B60" s="44" t="inlineStr">
        <is>
          <t>Roma régia e a Itália arcaica (753–510 a.C.)</t>
        </is>
      </c>
      <c r="C60" s="45" t="inlineStr">
        <is>
          <t>705 a.C.</t>
        </is>
      </c>
      <c r="D60" s="44" t="inlineStr">
        <is>
          <t>O templo de Jano e a paz</t>
        </is>
      </c>
      <c r="E60" s="44" t="inlineStr">
        <is>
          <t>Fórum Romano, Roma</t>
        </is>
      </c>
      <c r="F60" s="45" t="inlineStr">
        <is>
          <t>Pendente</t>
        </is>
      </c>
      <c r="G60" s="45" t="n">
        <v>-705</v>
      </c>
      <c r="H60" s="43" t="n">
        <v>13</v>
      </c>
      <c r="I60" s="46">
        <f>IF(H60=0,DATE(2026,10,29),IF(H60=1,DATE(2026,10,30),DATE(2026,11,2)+7*INT((H60-2)/3)+CHOOSE(MOD(H60-2,3)+1,0,2,4)))</f>
        <v/>
      </c>
    </row>
    <row r="61" ht="23.85" customHeight="1" s="24">
      <c r="A61" s="43" t="n">
        <v>60</v>
      </c>
      <c r="B61" s="44" t="inlineStr">
        <is>
          <t>Roma régia e a Itália arcaica (753–510 a.C.)</t>
        </is>
      </c>
      <c r="C61" s="45" t="inlineStr">
        <is>
          <t>c. 700 a.C.</t>
        </is>
      </c>
      <c r="D61" s="44" t="inlineStr">
        <is>
          <t>Cuma: a colônia grega mais antiga da Itália continental</t>
        </is>
      </c>
      <c r="E61" s="44" t="inlineStr">
        <is>
          <t>Parco Archeologico di Cuma</t>
        </is>
      </c>
      <c r="F61" s="45" t="inlineStr">
        <is>
          <t>Pendente</t>
        </is>
      </c>
      <c r="G61" s="45" t="n">
        <v>-700</v>
      </c>
      <c r="H61" s="43" t="n">
        <v>14</v>
      </c>
      <c r="I61" s="46">
        <f>IF(H61=0,DATE(2026,10,29),IF(H61=1,DATE(2026,10,30),DATE(2026,11,2)+7*INT((H61-2)/3)+CHOOSE(MOD(H61-2,3)+1,0,2,4)))</f>
        <v/>
      </c>
    </row>
    <row r="62" ht="23.85" customHeight="1" s="24">
      <c r="A62" s="43" t="n">
        <v>61</v>
      </c>
      <c r="B62" s="44" t="inlineStr">
        <is>
          <t>Roma régia e a Itália arcaica (753–510 a.C.)</t>
        </is>
      </c>
      <c r="C62" s="45" t="inlineStr">
        <is>
          <t>c. 700 a.C.</t>
        </is>
      </c>
      <c r="D62" s="44" t="inlineStr">
        <is>
          <t>A Sibila de Cuma</t>
        </is>
      </c>
      <c r="E62" s="44" t="inlineStr">
        <is>
          <t>Antro da Sibila, Cuma</t>
        </is>
      </c>
      <c r="F62" s="45" t="inlineStr">
        <is>
          <t>Pendente</t>
        </is>
      </c>
      <c r="G62" s="45" t="n">
        <v>-700</v>
      </c>
      <c r="H62" s="43" t="n">
        <v>15</v>
      </c>
      <c r="I62" s="46">
        <f>IF(H62=0,DATE(2026,10,29),IF(H62=1,DATE(2026,10,30),DATE(2026,11,2)+7*INT((H62-2)/3)+CHOOSE(MOD(H62-2,3)+1,0,2,4)))</f>
        <v/>
      </c>
    </row>
    <row r="63" ht="23.85" customHeight="1" s="24">
      <c r="A63" s="43" t="n">
        <v>62</v>
      </c>
      <c r="B63" s="44" t="inlineStr">
        <is>
          <t>Roma régia e a Itália arcaica (753–510 a.C.)</t>
        </is>
      </c>
      <c r="C63" s="45" t="inlineStr">
        <is>
          <t>c. 700 a.C.</t>
        </is>
      </c>
      <c r="D63" s="44" t="inlineStr">
        <is>
          <t>Cerveteri: a cidade dos mortos etruscos</t>
        </is>
      </c>
      <c r="E63" s="44" t="inlineStr">
        <is>
          <t>Necrópole da Banditaccia, Cerveteri</t>
        </is>
      </c>
      <c r="F63" s="45" t="inlineStr">
        <is>
          <t>Pendente</t>
        </is>
      </c>
      <c r="G63" s="45" t="n">
        <v>-700</v>
      </c>
      <c r="H63" s="43" t="n">
        <v>16</v>
      </c>
      <c r="I63" s="46">
        <f>IF(H63=0,DATE(2026,10,29),IF(H63=1,DATE(2026,10,30),DATE(2026,11,2)+7*INT((H63-2)/3)+CHOOSE(MOD(H63-2,3)+1,0,2,4)))</f>
        <v/>
      </c>
    </row>
    <row r="64" ht="23.85" customHeight="1" s="24">
      <c r="A64" s="43" t="n">
        <v>63</v>
      </c>
      <c r="B64" s="44" t="inlineStr">
        <is>
          <t>Roma régia e a Itália arcaica (753–510 a.C.)</t>
        </is>
      </c>
      <c r="C64" s="45" t="inlineStr">
        <is>
          <t>c. 700 a.C.</t>
        </is>
      </c>
      <c r="D64" s="44" t="inlineStr">
        <is>
          <t>O período orientalizante: os tesouros da tumba Regolini-Galassi</t>
        </is>
      </c>
      <c r="E64" s="44" t="inlineStr">
        <is>
          <t>Museo Gregoriano Etrusco, Vaticano</t>
        </is>
      </c>
      <c r="F64" s="45" t="inlineStr">
        <is>
          <t>Pendente</t>
        </is>
      </c>
      <c r="G64" s="45" t="n">
        <v>-700</v>
      </c>
      <c r="H64" s="43" t="n">
        <v>17</v>
      </c>
      <c r="I64" s="46">
        <f>IF(H64=0,DATE(2026,10,29),IF(H64=1,DATE(2026,10,30),DATE(2026,11,2)+7*INT((H64-2)/3)+CHOOSE(MOD(H64-2,3)+1,0,2,4)))</f>
        <v/>
      </c>
    </row>
    <row r="65" ht="23.85" customHeight="1" s="24">
      <c r="A65" s="43" t="n">
        <v>64</v>
      </c>
      <c r="B65" s="44" t="inlineStr">
        <is>
          <t>Roma régia e a Itália arcaica (753–510 a.C.)</t>
        </is>
      </c>
      <c r="C65" s="45" t="inlineStr">
        <is>
          <t>c. 700 a.C.</t>
        </is>
      </c>
      <c r="D65" s="44" t="inlineStr">
        <is>
          <t>Os sabinos: vizinhos e rivais de Roma</t>
        </is>
      </c>
      <c r="E65" s="44" t="inlineStr">
        <is>
          <t>Rieti</t>
        </is>
      </c>
      <c r="F65" s="45" t="inlineStr">
        <is>
          <t>Pendente</t>
        </is>
      </c>
      <c r="G65" s="45" t="n">
        <v>-700</v>
      </c>
      <c r="H65" s="43" t="n">
        <v>18</v>
      </c>
      <c r="I65" s="46">
        <f>IF(H65=0,DATE(2026,10,29),IF(H65=1,DATE(2026,10,30),DATE(2026,11,2)+7*INT((H65-2)/3)+CHOOSE(MOD(H65-2,3)+1,0,2,4)))</f>
        <v/>
      </c>
    </row>
    <row r="66" ht="23.85" customHeight="1" s="24">
      <c r="A66" s="43" t="n">
        <v>65</v>
      </c>
      <c r="B66" s="44" t="inlineStr">
        <is>
          <t>Roma régia e a Itália arcaica (753–510 a.C.)</t>
        </is>
      </c>
      <c r="C66" s="45" t="inlineStr">
        <is>
          <t>c. 700 a.C.</t>
        </is>
      </c>
      <c r="D66" s="44" t="inlineStr">
        <is>
          <t>O Septimontium: as sete colinas de Roma</t>
        </is>
      </c>
      <c r="E66" s="44" t="inlineStr">
        <is>
          <t>A definir (Roma)</t>
        </is>
      </c>
      <c r="F66" s="45" t="inlineStr">
        <is>
          <t>Pendente</t>
        </is>
      </c>
      <c r="G66" s="45" t="n">
        <v>-700</v>
      </c>
      <c r="H66" s="43" t="n">
        <v>19</v>
      </c>
      <c r="I66" s="46">
        <f>IF(H66=0,DATE(2026,10,29),IF(H66=1,DATE(2026,10,30),DATE(2026,11,2)+7*INT((H66-2)/3)+CHOOSE(MOD(H66-2,3)+1,0,2,4)))</f>
        <v/>
      </c>
    </row>
    <row r="67" ht="23.85" customHeight="1" s="24">
      <c r="A67" s="43" t="n">
        <v>66</v>
      </c>
      <c r="B67" s="44" t="inlineStr">
        <is>
          <t>Roma régia e a Itália arcaica (753–510 a.C.)</t>
        </is>
      </c>
      <c r="C67" s="45" t="inlineStr">
        <is>
          <t>c. 700 a.C.</t>
        </is>
      </c>
      <c r="D67" s="44" t="inlineStr">
        <is>
          <t>A Régia e o Pontífice Máximo</t>
        </is>
      </c>
      <c r="E67" s="44" t="inlineStr">
        <is>
          <t>Fórum Romano, Roma</t>
        </is>
      </c>
      <c r="F67" s="45" t="inlineStr">
        <is>
          <t>Pendente</t>
        </is>
      </c>
      <c r="G67" s="45" t="n">
        <v>-700</v>
      </c>
      <c r="H67" s="43" t="n">
        <v>20</v>
      </c>
      <c r="I67" s="46">
        <f>IF(H67=0,DATE(2026,10,29),IF(H67=1,DATE(2026,10,30),DATE(2026,11,2)+7*INT((H67-2)/3)+CHOOSE(MOD(H67-2,3)+1,0,2,4)))</f>
        <v/>
      </c>
    </row>
    <row r="68" ht="23.85" customHeight="1" s="24">
      <c r="A68" s="43" t="n">
        <v>67</v>
      </c>
      <c r="B68" s="44" t="inlineStr">
        <is>
          <t>Roma régia e a Itália arcaica (753–510 a.C.)</t>
        </is>
      </c>
      <c r="C68" s="45" t="inlineStr">
        <is>
          <t>c. 700 a.C.</t>
        </is>
      </c>
      <c r="D68" s="44" t="inlineStr">
        <is>
          <t>Os sálios e os escudos sagrados</t>
        </is>
      </c>
      <c r="E68" s="44" t="inlineStr">
        <is>
          <t>Palatino, Roma</t>
        </is>
      </c>
      <c r="F68" s="45" t="inlineStr">
        <is>
          <t>Pendente</t>
        </is>
      </c>
      <c r="G68" s="45" t="n">
        <v>-700</v>
      </c>
      <c r="H68" s="43" t="n">
        <v>21</v>
      </c>
      <c r="I68" s="46">
        <f>IF(H68=0,DATE(2026,10,29),IF(H68=1,DATE(2026,10,30),DATE(2026,11,2)+7*INT((H68-2)/3)+CHOOSE(MOD(H68-2,3)+1,0,2,4)))</f>
        <v/>
      </c>
    </row>
    <row r="69" ht="23.85" customHeight="1" s="24">
      <c r="A69" s="43" t="n">
        <v>68</v>
      </c>
      <c r="B69" s="44" t="inlineStr">
        <is>
          <t>Roma régia e a Itália arcaica (753–510 a.C.)</t>
        </is>
      </c>
      <c r="C69" s="45" t="inlineStr">
        <is>
          <t>690 a.C.</t>
        </is>
      </c>
      <c r="D69" s="44" t="inlineStr">
        <is>
          <t>Numa e a ninfa Egéria</t>
        </is>
      </c>
      <c r="E69" s="44" t="inlineStr">
        <is>
          <t>Vale da Caffarella, Roma</t>
        </is>
      </c>
      <c r="F69" s="45" t="inlineStr">
        <is>
          <t>Pendente</t>
        </is>
      </c>
      <c r="G69" s="45" t="n">
        <v>-690</v>
      </c>
      <c r="H69" s="43" t="n">
        <v>22</v>
      </c>
      <c r="I69" s="46">
        <f>IF(H69=0,DATE(2026,10,29),IF(H69=1,DATE(2026,10,30),DATE(2026,11,2)+7*INT((H69-2)/3)+CHOOSE(MOD(H69-2,3)+1,0,2,4)))</f>
        <v/>
      </c>
    </row>
    <row r="70" ht="23.85" customHeight="1" s="24">
      <c r="A70" s="43" t="n">
        <v>69</v>
      </c>
      <c r="B70" s="44" t="inlineStr">
        <is>
          <t>Roma régia e a Itália arcaica (753–510 a.C.)</t>
        </is>
      </c>
      <c r="C70" s="45" t="inlineStr">
        <is>
          <t>c. 690 a.C.</t>
        </is>
      </c>
      <c r="D70" s="44" t="inlineStr">
        <is>
          <t>Reggio e Zancle: os estreitos de Messina</t>
        </is>
      </c>
      <c r="E70" s="44" t="inlineStr">
        <is>
          <t>Museu Nacional de Reggio Calábria (Bronzes de Riace)</t>
        </is>
      </c>
      <c r="F70" s="45" t="inlineStr">
        <is>
          <t>Pendente</t>
        </is>
      </c>
      <c r="G70" s="45" t="n">
        <v>-690</v>
      </c>
      <c r="H70" s="43" t="n">
        <v>23</v>
      </c>
      <c r="I70" s="46">
        <f>IF(H70=0,DATE(2026,10,29),IF(H70=1,DATE(2026,10,30),DATE(2026,11,2)+7*INT((H70-2)/3)+CHOOSE(MOD(H70-2,3)+1,0,2,4)))</f>
        <v/>
      </c>
    </row>
    <row r="71" ht="23.85" customHeight="1" s="24">
      <c r="A71" s="43" t="n">
        <v>70</v>
      </c>
      <c r="B71" s="44" t="inlineStr">
        <is>
          <t>Roma régia e a Itália arcaica (753–510 a.C.)</t>
        </is>
      </c>
      <c r="C71" s="45" t="inlineStr">
        <is>
          <t>c. 680 a.C.</t>
        </is>
      </c>
      <c r="D71" s="44" t="inlineStr">
        <is>
          <t>Tarquínia: as tumbas pintadas</t>
        </is>
      </c>
      <c r="E71" s="44" t="inlineStr">
        <is>
          <t>Necrópole dos Monterozzi, Tarquínia</t>
        </is>
      </c>
      <c r="F71" s="45" t="inlineStr">
        <is>
          <t>Pendente</t>
        </is>
      </c>
      <c r="G71" s="45" t="n">
        <v>-680</v>
      </c>
      <c r="H71" s="43" t="n">
        <v>24</v>
      </c>
      <c r="I71" s="46">
        <f>IF(H71=0,DATE(2026,10,29),IF(H71=1,DATE(2026,10,30),DATE(2026,11,2)+7*INT((H71-2)/3)+CHOOSE(MOD(H71-2,3)+1,0,2,4)))</f>
        <v/>
      </c>
    </row>
    <row r="72" ht="23.85" customHeight="1" s="24">
      <c r="A72" s="43" t="n">
        <v>71</v>
      </c>
      <c r="B72" s="44" t="inlineStr">
        <is>
          <t>Roma régia e a Itália arcaica (753–510 a.C.)</t>
        </is>
      </c>
      <c r="C72" s="45" t="inlineStr">
        <is>
          <t>c. 675 a.C.</t>
        </is>
      </c>
      <c r="D72" s="44" t="inlineStr">
        <is>
          <t>A Dodecápole: as doze cidades etruscas</t>
        </is>
      </c>
      <c r="E72" s="44" t="inlineStr">
        <is>
          <t>Orvieto</t>
        </is>
      </c>
      <c r="F72" s="45" t="inlineStr">
        <is>
          <t>Pendente</t>
        </is>
      </c>
      <c r="G72" s="45" t="n">
        <v>-675</v>
      </c>
      <c r="H72" s="43" t="n">
        <v>25</v>
      </c>
      <c r="I72" s="46">
        <f>IF(H72=0,DATE(2026,10,29),IF(H72=1,DATE(2026,10,30),DATE(2026,11,2)+7*INT((H72-2)/3)+CHOOSE(MOD(H72-2,3)+1,0,2,4)))</f>
        <v/>
      </c>
    </row>
    <row r="73" ht="23.85" customHeight="1" s="24">
      <c r="A73" s="43" t="n">
        <v>72</v>
      </c>
      <c r="B73" s="44" t="inlineStr">
        <is>
          <t>Roma régia e a Itália arcaica (753–510 a.C.)</t>
        </is>
      </c>
      <c r="C73" s="45" t="inlineStr">
        <is>
          <t>673 a.C.</t>
        </is>
      </c>
      <c r="D73" s="44" t="inlineStr">
        <is>
          <t>Tulo Hostílio: o rei guerreiro</t>
        </is>
      </c>
      <c r="E73" s="44" t="inlineStr">
        <is>
          <t>Cúria Júlia, Fórum Romano, Roma</t>
        </is>
      </c>
      <c r="F73" s="45" t="inlineStr">
        <is>
          <t>Pendente</t>
        </is>
      </c>
      <c r="G73" s="45" t="n">
        <v>-673</v>
      </c>
      <c r="H73" s="43" t="n">
        <v>26</v>
      </c>
      <c r="I73" s="46">
        <f>IF(H73=0,DATE(2026,10,29),IF(H73=1,DATE(2026,10,30),DATE(2026,11,2)+7*INT((H73-2)/3)+CHOOSE(MOD(H73-2,3)+1,0,2,4)))</f>
        <v/>
      </c>
    </row>
    <row r="74" ht="23.85" customHeight="1" s="24">
      <c r="A74" s="43" t="n">
        <v>73</v>
      </c>
      <c r="B74" s="44" t="inlineStr">
        <is>
          <t>Roma régia e a Itália arcaica (753–510 a.C.)</t>
        </is>
      </c>
      <c r="C74" s="45" t="inlineStr">
        <is>
          <t>c. 670 a.C.</t>
        </is>
      </c>
      <c r="D74" s="44" t="inlineStr">
        <is>
          <t>Veios: a grande rival de Roma</t>
        </is>
      </c>
      <c r="E74" s="44" t="inlineStr">
        <is>
          <t>Parque de Veio, Roma</t>
        </is>
      </c>
      <c r="F74" s="45" t="inlineStr">
        <is>
          <t>Pendente</t>
        </is>
      </c>
      <c r="G74" s="45" t="n">
        <v>-670</v>
      </c>
      <c r="H74" s="43" t="n">
        <v>27</v>
      </c>
      <c r="I74" s="46">
        <f>IF(H74=0,DATE(2026,10,29),IF(H74=1,DATE(2026,10,30),DATE(2026,11,2)+7*INT((H74-2)/3)+CHOOSE(MOD(H74-2,3)+1,0,2,4)))</f>
        <v/>
      </c>
    </row>
    <row r="75" ht="23.85" customHeight="1" s="24">
      <c r="A75" s="43" t="n">
        <v>74</v>
      </c>
      <c r="B75" s="44" t="inlineStr">
        <is>
          <t>Roma régia e a Itália arcaica (753–510 a.C.)</t>
        </is>
      </c>
      <c r="C75" s="45" t="inlineStr">
        <is>
          <t>670 a.C.</t>
        </is>
      </c>
      <c r="D75" s="44" t="inlineStr">
        <is>
          <t>Os Horácios e os Curiácios</t>
        </is>
      </c>
      <c r="E75" s="44" t="inlineStr">
        <is>
          <t>Fórum Romano, Roma</t>
        </is>
      </c>
      <c r="F75" s="45" t="inlineStr">
        <is>
          <t>Pendente</t>
        </is>
      </c>
      <c r="G75" s="45" t="n">
        <v>-670</v>
      </c>
      <c r="H75" s="43" t="n">
        <v>28</v>
      </c>
      <c r="I75" s="46">
        <f>IF(H75=0,DATE(2026,10,29),IF(H75=1,DATE(2026,10,30),DATE(2026,11,2)+7*INT((H75-2)/3)+CHOOSE(MOD(H75-2,3)+1,0,2,4)))</f>
        <v/>
      </c>
    </row>
    <row r="76" ht="23.85" customHeight="1" s="24">
      <c r="A76" s="43" t="n">
        <v>75</v>
      </c>
      <c r="B76" s="44" t="inlineStr">
        <is>
          <t>Roma régia e a Itália arcaica (753–510 a.C.)</t>
        </is>
      </c>
      <c r="C76" s="45" t="inlineStr">
        <is>
          <t>665 a.C.</t>
        </is>
      </c>
      <c r="D76" s="44" t="inlineStr">
        <is>
          <t>A destruição de Alba Longa</t>
        </is>
      </c>
      <c r="E76" s="44" t="inlineStr">
        <is>
          <t>Lago Albano, Castel Gandolfo</t>
        </is>
      </c>
      <c r="F76" s="45" t="inlineStr">
        <is>
          <t>Pendente</t>
        </is>
      </c>
      <c r="G76" s="45" t="n">
        <v>-665</v>
      </c>
      <c r="H76" s="43" t="n">
        <v>29</v>
      </c>
      <c r="I76" s="46">
        <f>IF(H76=0,DATE(2026,10,29),IF(H76=1,DATE(2026,10,30),DATE(2026,11,2)+7*INT((H76-2)/3)+CHOOSE(MOD(H76-2,3)+1,0,2,4)))</f>
        <v/>
      </c>
    </row>
    <row r="77" ht="23.85" customHeight="1" s="24">
      <c r="A77" s="43" t="n">
        <v>76</v>
      </c>
      <c r="B77" s="44" t="inlineStr">
        <is>
          <t>Roma régia e a Itália arcaica (753–510 a.C.)</t>
        </is>
      </c>
      <c r="C77" s="45" t="inlineStr">
        <is>
          <t>c. 650 a.C.</t>
        </is>
      </c>
      <c r="D77" s="44" t="inlineStr">
        <is>
          <t>A língua etrusca e as lâminas de Pirgi</t>
        </is>
      </c>
      <c r="E77" s="44" t="inlineStr">
        <is>
          <t>Museo Nazionale Etrusco di Villa Giulia, Roma</t>
        </is>
      </c>
      <c r="F77" s="45" t="inlineStr">
        <is>
          <t>Pendente</t>
        </is>
      </c>
      <c r="G77" s="45" t="n">
        <v>-650</v>
      </c>
      <c r="H77" s="43" t="n">
        <v>30</v>
      </c>
      <c r="I77" s="46">
        <f>IF(H77=0,DATE(2026,10,29),IF(H77=1,DATE(2026,10,30),DATE(2026,11,2)+7*INT((H77-2)/3)+CHOOSE(MOD(H77-2,3)+1,0,2,4)))</f>
        <v/>
      </c>
    </row>
    <row r="78" ht="23.85" customHeight="1" s="24">
      <c r="A78" s="43" t="n">
        <v>77</v>
      </c>
      <c r="B78" s="44" t="inlineStr">
        <is>
          <t>Roma régia e a Itália arcaica (753–510 a.C.)</t>
        </is>
      </c>
      <c r="C78" s="45" t="inlineStr">
        <is>
          <t>c. 650 a.C.</t>
        </is>
      </c>
      <c r="D78" s="44" t="inlineStr">
        <is>
          <t>Vulci: bronzes e vasos etruscos</t>
        </is>
      </c>
      <c r="E78" s="44" t="inlineStr">
        <is>
          <t>Parco Archeologico di Vulci</t>
        </is>
      </c>
      <c r="F78" s="45" t="inlineStr">
        <is>
          <t>Pendente</t>
        </is>
      </c>
      <c r="G78" s="45" t="n">
        <v>-650</v>
      </c>
      <c r="H78" s="43" t="n">
        <v>31</v>
      </c>
      <c r="I78" s="46">
        <f>IF(H78=0,DATE(2026,10,29),IF(H78=1,DATE(2026,10,30),DATE(2026,11,2)+7*INT((H78-2)/3)+CHOOSE(MOD(H78-2,3)+1,0,2,4)))</f>
        <v/>
      </c>
    </row>
    <row r="79" ht="23.85" customHeight="1" s="24">
      <c r="A79" s="43" t="n">
        <v>78</v>
      </c>
      <c r="B79" s="44" t="inlineStr">
        <is>
          <t>Roma régia e a Itália arcaica (753–510 a.C.)</t>
        </is>
      </c>
      <c r="C79" s="45" t="inlineStr">
        <is>
          <t>c. 650 a.C.</t>
        </is>
      </c>
      <c r="D79" s="44" t="inlineStr">
        <is>
          <t>Selinunte: a cidade dos templos</t>
        </is>
      </c>
      <c r="E79" s="44" t="inlineStr">
        <is>
          <t>Selinunte</t>
        </is>
      </c>
      <c r="F79" s="45" t="inlineStr">
        <is>
          <t>Pendente</t>
        </is>
      </c>
      <c r="G79" s="45" t="n">
        <v>-650</v>
      </c>
      <c r="H79" s="43" t="n">
        <v>32</v>
      </c>
      <c r="I79" s="46">
        <f>IF(H79=0,DATE(2026,10,29),IF(H79=1,DATE(2026,10,30),DATE(2026,11,2)+7*INT((H79-2)/3)+CHOOSE(MOD(H79-2,3)+1,0,2,4)))</f>
        <v/>
      </c>
    </row>
    <row r="80" ht="23.85" customHeight="1" s="24">
      <c r="A80" s="43" t="n">
        <v>79</v>
      </c>
      <c r="B80" s="44" t="inlineStr">
        <is>
          <t>Roma régia e a Itália arcaica (753–510 a.C.)</t>
        </is>
      </c>
      <c r="C80" s="45" t="inlineStr">
        <is>
          <t>c. 650 a.C.</t>
        </is>
      </c>
      <c r="D80" s="44" t="inlineStr">
        <is>
          <t>Úmbrios e as Tábuas de Gúbio</t>
        </is>
      </c>
      <c r="E80" s="44" t="inlineStr">
        <is>
          <t>Gubbio</t>
        </is>
      </c>
      <c r="F80" s="45" t="inlineStr">
        <is>
          <t>Pendente</t>
        </is>
      </c>
      <c r="G80" s="45" t="n">
        <v>-650</v>
      </c>
      <c r="H80" s="43" t="n">
        <v>33</v>
      </c>
      <c r="I80" s="46">
        <f>IF(H80=0,DATE(2026,10,29),IF(H80=1,DATE(2026,10,30),DATE(2026,11,2)+7*INT((H80-2)/3)+CHOOSE(MOD(H80-2,3)+1,0,2,4)))</f>
        <v/>
      </c>
    </row>
    <row r="81" ht="23.85" customHeight="1" s="24">
      <c r="A81" s="43" t="n">
        <v>80</v>
      </c>
      <c r="B81" s="44" t="inlineStr">
        <is>
          <t>Roma régia e a Itália arcaica (753–510 a.C.)</t>
        </is>
      </c>
      <c r="C81" s="45" t="inlineStr">
        <is>
          <t>642 a.C.</t>
        </is>
      </c>
      <c r="D81" s="44" t="inlineStr">
        <is>
          <t>Anco Márcio e o porto de Óstia</t>
        </is>
      </c>
      <c r="E81" s="44" t="inlineStr">
        <is>
          <t>Óstia Antiga</t>
        </is>
      </c>
      <c r="F81" s="45" t="inlineStr">
        <is>
          <t>Pendente</t>
        </is>
      </c>
      <c r="G81" s="45" t="n">
        <v>-642</v>
      </c>
      <c r="H81" s="43" t="n">
        <v>34</v>
      </c>
      <c r="I81" s="46">
        <f>IF(H81=0,DATE(2026,10,29),IF(H81=1,DATE(2026,10,30),DATE(2026,11,2)+7*INT((H81-2)/3)+CHOOSE(MOD(H81-2,3)+1,0,2,4)))</f>
        <v/>
      </c>
    </row>
    <row r="82" ht="23.85" customHeight="1" s="24">
      <c r="A82" s="43" t="n">
        <v>81</v>
      </c>
      <c r="B82" s="44" t="inlineStr">
        <is>
          <t>Roma régia e a Itália arcaica (753–510 a.C.)</t>
        </is>
      </c>
      <c r="C82" s="45" t="inlineStr">
        <is>
          <t>c. 640 a.C.</t>
        </is>
      </c>
      <c r="D82" s="44" t="inlineStr">
        <is>
          <t>A ponte Sublício: a primeira ponte de Roma</t>
        </is>
      </c>
      <c r="E82" s="44" t="inlineStr">
        <is>
          <t>Ponte Sublício, Roma</t>
        </is>
      </c>
      <c r="F82" s="45" t="inlineStr">
        <is>
          <t>Pendente</t>
        </is>
      </c>
      <c r="G82" s="45" t="n">
        <v>-640</v>
      </c>
      <c r="H82" s="43" t="n">
        <v>35</v>
      </c>
      <c r="I82" s="46">
        <f>IF(H82=0,DATE(2026,10,29),IF(H82=1,DATE(2026,10,30),DATE(2026,11,2)+7*INT((H82-2)/3)+CHOOSE(MOD(H82-2,3)+1,0,2,4)))</f>
        <v/>
      </c>
    </row>
    <row r="83" ht="23.85" customHeight="1" s="24">
      <c r="A83" s="43" t="n">
        <v>82</v>
      </c>
      <c r="B83" s="44" t="inlineStr">
        <is>
          <t>Roma régia e a Itália arcaica (753–510 a.C.)</t>
        </is>
      </c>
      <c r="C83" s="45" t="inlineStr">
        <is>
          <t>c. 630 a.C.</t>
        </is>
      </c>
      <c r="D83" s="44" t="inlineStr">
        <is>
          <t>As salinas do Tibre e a Via Salaria</t>
        </is>
      </c>
      <c r="E83" s="44" t="inlineStr">
        <is>
          <t>Óstia Antiga</t>
        </is>
      </c>
      <c r="F83" s="45" t="inlineStr">
        <is>
          <t>Pendente</t>
        </is>
      </c>
      <c r="G83" s="45" t="n">
        <v>-630</v>
      </c>
      <c r="H83" s="43" t="n">
        <v>36</v>
      </c>
      <c r="I83" s="46">
        <f>IF(H83=0,DATE(2026,10,29),IF(H83=1,DATE(2026,10,30),DATE(2026,11,2)+7*INT((H83-2)/3)+CHOOSE(MOD(H83-2,3)+1,0,2,4)))</f>
        <v/>
      </c>
    </row>
    <row r="84" ht="23.85" customHeight="1" s="24">
      <c r="A84" s="43" t="n">
        <v>83</v>
      </c>
      <c r="B84" s="44" t="inlineStr">
        <is>
          <t>Roma régia e a Itália arcaica (753–510 a.C.)</t>
        </is>
      </c>
      <c r="C84" s="45" t="inlineStr">
        <is>
          <t>c. 630 a.C.</t>
        </is>
      </c>
      <c r="D84" s="44" t="inlineStr">
        <is>
          <t>Populônia: a cidade etrusca do ferro</t>
        </is>
      </c>
      <c r="E84" s="44" t="inlineStr">
        <is>
          <t>Populonia</t>
        </is>
      </c>
      <c r="F84" s="45" t="inlineStr">
        <is>
          <t>Pendente</t>
        </is>
      </c>
      <c r="G84" s="45" t="n">
        <v>-630</v>
      </c>
      <c r="H84" s="43" t="n">
        <v>37</v>
      </c>
      <c r="I84" s="46">
        <f>IF(H84=0,DATE(2026,10,29),IF(H84=1,DATE(2026,10,30),DATE(2026,11,2)+7*INT((H84-2)/3)+CHOOSE(MOD(H84-2,3)+1,0,2,4)))</f>
        <v/>
      </c>
    </row>
    <row r="85" ht="23.85" customHeight="1" s="24">
      <c r="A85" s="43" t="n">
        <v>84</v>
      </c>
      <c r="B85" s="44" t="inlineStr">
        <is>
          <t>Roma régia e a Itália arcaica (753–510 a.C.)</t>
        </is>
      </c>
      <c r="C85" s="45" t="inlineStr">
        <is>
          <t>c. 625 a.C.</t>
        </is>
      </c>
      <c r="D85" s="44" t="inlineStr">
        <is>
          <t>Posidônia: nasce Paestum</t>
        </is>
      </c>
      <c r="E85" s="44" t="inlineStr">
        <is>
          <t>Paestum</t>
        </is>
      </c>
      <c r="F85" s="45" t="inlineStr">
        <is>
          <t>Pendente</t>
        </is>
      </c>
      <c r="G85" s="45" t="n">
        <v>-625</v>
      </c>
      <c r="H85" s="43" t="n">
        <v>38</v>
      </c>
      <c r="I85" s="46">
        <f>IF(H85=0,DATE(2026,10,29),IF(H85=1,DATE(2026,10,30),DATE(2026,11,2)+7*INT((H85-2)/3)+CHOOSE(MOD(H85-2,3)+1,0,2,4)))</f>
        <v/>
      </c>
    </row>
    <row r="86" ht="23.85" customHeight="1" s="24">
      <c r="A86" s="43" t="n">
        <v>85</v>
      </c>
      <c r="B86" s="44" t="inlineStr">
        <is>
          <t>Roma régia e a Itália arcaica (753–510 a.C.)</t>
        </is>
      </c>
      <c r="C86" s="45" t="inlineStr">
        <is>
          <t>c. 620 a.C.</t>
        </is>
      </c>
      <c r="D86" s="44" t="inlineStr">
        <is>
          <t>Vetulônia e o mundo etrusco do norte</t>
        </is>
      </c>
      <c r="E86" s="44" t="inlineStr">
        <is>
          <t>Vetulonia</t>
        </is>
      </c>
      <c r="F86" s="45" t="inlineStr">
        <is>
          <t>Pendente</t>
        </is>
      </c>
      <c r="G86" s="45" t="n">
        <v>-620</v>
      </c>
      <c r="H86" s="43" t="n">
        <v>39</v>
      </c>
      <c r="I86" s="46">
        <f>IF(H86=0,DATE(2026,10,29),IF(H86=1,DATE(2026,10,30),DATE(2026,11,2)+7*INT((H86-2)/3)+CHOOSE(MOD(H86-2,3)+1,0,2,4)))</f>
        <v/>
      </c>
    </row>
    <row r="87" ht="23.85" customHeight="1" s="24">
      <c r="A87" s="43" t="n">
        <v>86</v>
      </c>
      <c r="B87" s="44" t="inlineStr">
        <is>
          <t>Roma régia e a Itália arcaica (753–510 a.C.)</t>
        </is>
      </c>
      <c r="C87" s="45" t="inlineStr">
        <is>
          <t>616 a.C.</t>
        </is>
      </c>
      <c r="D87" s="44" t="inlineStr">
        <is>
          <t>Tarquínio Prisco, o rei vindo de Tarquínia</t>
        </is>
      </c>
      <c r="E87" s="44" t="inlineStr">
        <is>
          <t>Tarquínia</t>
        </is>
      </c>
      <c r="F87" s="45" t="inlineStr">
        <is>
          <t>Pendente</t>
        </is>
      </c>
      <c r="G87" s="45" t="n">
        <v>-616</v>
      </c>
      <c r="H87" s="43" t="n">
        <v>40</v>
      </c>
      <c r="I87" s="46">
        <f>IF(H87=0,DATE(2026,10,29),IF(H87=1,DATE(2026,10,30),DATE(2026,11,2)+7*INT((H87-2)/3)+CHOOSE(MOD(H87-2,3)+1,0,2,4)))</f>
        <v/>
      </c>
    </row>
    <row r="88" ht="23.85" customHeight="1" s="24">
      <c r="A88" s="43" t="n">
        <v>87</v>
      </c>
      <c r="B88" s="44" t="inlineStr">
        <is>
          <t>Roma régia e a Itália arcaica (753–510 a.C.)</t>
        </is>
      </c>
      <c r="C88" s="45" t="inlineStr">
        <is>
          <t>612 a.C.</t>
        </is>
      </c>
      <c r="D88" s="44" t="inlineStr">
        <is>
          <t>O Circo Máximo e os primeiros jogos</t>
        </is>
      </c>
      <c r="E88" s="44" t="inlineStr">
        <is>
          <t>Circo Máximo, Roma</t>
        </is>
      </c>
      <c r="F88" s="45" t="inlineStr">
        <is>
          <t>Pendente</t>
        </is>
      </c>
      <c r="G88" s="45" t="n">
        <v>-612</v>
      </c>
      <c r="H88" s="43" t="n">
        <v>41</v>
      </c>
      <c r="I88" s="46">
        <f>IF(H88=0,DATE(2026,10,29),IF(H88=1,DATE(2026,10,30),DATE(2026,11,2)+7*INT((H88-2)/3)+CHOOSE(MOD(H88-2,3)+1,0,2,4)))</f>
        <v/>
      </c>
    </row>
    <row r="89" ht="23.85" customHeight="1" s="24">
      <c r="A89" s="43" t="n">
        <v>88</v>
      </c>
      <c r="B89" s="44" t="inlineStr">
        <is>
          <t>Roma régia e a Itália arcaica (753–510 a.C.)</t>
        </is>
      </c>
      <c r="C89" s="45" t="inlineStr">
        <is>
          <t>610 a.C.</t>
        </is>
      </c>
      <c r="D89" s="44" t="inlineStr">
        <is>
          <t>A drenagem do Fórum e a Cloaca Máxima</t>
        </is>
      </c>
      <c r="E89" s="44" t="inlineStr">
        <is>
          <t>Ponte Palatino, Roma</t>
        </is>
      </c>
      <c r="F89" s="45" t="inlineStr">
        <is>
          <t>Pendente</t>
        </is>
      </c>
      <c r="G89" s="45" t="n">
        <v>-610</v>
      </c>
      <c r="H89" s="43" t="n">
        <v>42</v>
      </c>
      <c r="I89" s="46">
        <f>IF(H89=0,DATE(2026,10,29),IF(H89=1,DATE(2026,10,30),DATE(2026,11,2)+7*INT((H89-2)/3)+CHOOSE(MOD(H89-2,3)+1,0,2,4)))</f>
        <v/>
      </c>
    </row>
    <row r="90" ht="23.85" customHeight="1" s="24">
      <c r="A90" s="43" t="n">
        <v>89</v>
      </c>
      <c r="B90" s="44" t="inlineStr">
        <is>
          <t>Roma régia e a Itália arcaica (753–510 a.C.)</t>
        </is>
      </c>
      <c r="C90" s="45" t="inlineStr">
        <is>
          <t>c. 600 a.C.</t>
        </is>
      </c>
      <c r="D90" s="44" t="inlineStr">
        <is>
          <t>Os banquetes etruscos</t>
        </is>
      </c>
      <c r="E90" s="44" t="inlineStr">
        <is>
          <t>Museo Nazionale Etrusco di Villa Giulia, Roma</t>
        </is>
      </c>
      <c r="F90" s="45" t="inlineStr">
        <is>
          <t>Pendente</t>
        </is>
      </c>
      <c r="G90" s="45" t="n">
        <v>-600</v>
      </c>
      <c r="H90" s="43" t="n">
        <v>43</v>
      </c>
      <c r="I90" s="46">
        <f>IF(H90=0,DATE(2026,10,29),IF(H90=1,DATE(2026,10,30),DATE(2026,11,2)+7*INT((H90-2)/3)+CHOOSE(MOD(H90-2,3)+1,0,2,4)))</f>
        <v/>
      </c>
    </row>
    <row r="91" ht="23.85" customHeight="1" s="24">
      <c r="A91" s="43" t="n">
        <v>90</v>
      </c>
      <c r="B91" s="44" t="inlineStr">
        <is>
          <t>Roma régia e a Itália arcaica (753–510 a.C.)</t>
        </is>
      </c>
      <c r="C91" s="45" t="inlineStr">
        <is>
          <t>c. 600 a.C.</t>
        </is>
      </c>
      <c r="D91" s="44" t="inlineStr">
        <is>
          <t>A mulher etrusca e o Sarcófago dos Esposos</t>
        </is>
      </c>
      <c r="E91" s="44" t="inlineStr">
        <is>
          <t>Museo Nazionale Etrusco di Villa Giulia, Roma</t>
        </is>
      </c>
      <c r="F91" s="45" t="inlineStr">
        <is>
          <t>Pendente</t>
        </is>
      </c>
      <c r="G91" s="45" t="n">
        <v>-600</v>
      </c>
      <c r="H91" s="43" t="n">
        <v>44</v>
      </c>
      <c r="I91" s="46">
        <f>IF(H91=0,DATE(2026,10,29),IF(H91=1,DATE(2026,10,30),DATE(2026,11,2)+7*INT((H91-2)/3)+CHOOSE(MOD(H91-2,3)+1,0,2,4)))</f>
        <v/>
      </c>
    </row>
    <row r="92" ht="23.85" customHeight="1" s="24">
      <c r="A92" s="43" t="n">
        <v>91</v>
      </c>
      <c r="B92" s="44" t="inlineStr">
        <is>
          <t>Roma régia e a Itália arcaica (753–510 a.C.)</t>
        </is>
      </c>
      <c r="C92" s="45" t="inlineStr">
        <is>
          <t>c. 600 a.C.</t>
        </is>
      </c>
      <c r="D92" s="44" t="inlineStr">
        <is>
          <t>A religião etrusca: aruspícios e raios</t>
        </is>
      </c>
      <c r="E92" s="44" t="inlineStr">
        <is>
          <t>Museo Nazionale Etrusco di Villa Giulia, Roma</t>
        </is>
      </c>
      <c r="F92" s="45" t="inlineStr">
        <is>
          <t>Pendente</t>
        </is>
      </c>
      <c r="G92" s="45" t="n">
        <v>-600</v>
      </c>
      <c r="H92" s="43" t="n">
        <v>45</v>
      </c>
      <c r="I92" s="46">
        <f>IF(H92=0,DATE(2026,10,29),IF(H92=1,DATE(2026,10,30),DATE(2026,11,2)+7*INT((H92-2)/3)+CHOOSE(MOD(H92-2,3)+1,0,2,4)))</f>
        <v/>
      </c>
    </row>
    <row r="93" ht="23.85" customHeight="1" s="24">
      <c r="A93" s="43" t="n">
        <v>92</v>
      </c>
      <c r="B93" s="44" t="inlineStr">
        <is>
          <t>Roma régia e a Itália arcaica (753–510 a.C.)</t>
        </is>
      </c>
      <c r="C93" s="45" t="inlineStr">
        <is>
          <t>c. 600 a.C.</t>
        </is>
      </c>
      <c r="D93" s="44" t="inlineStr">
        <is>
          <t>Fenícios na Sardenha: Nora e Tharros</t>
        </is>
      </c>
      <c r="E93" s="44" t="inlineStr">
        <is>
          <t>Nora, Pula</t>
        </is>
      </c>
      <c r="F93" s="45" t="inlineStr">
        <is>
          <t>Pendente</t>
        </is>
      </c>
      <c r="G93" s="45" t="n">
        <v>-600</v>
      </c>
      <c r="H93" s="43" t="n">
        <v>46</v>
      </c>
      <c r="I93" s="46">
        <f>IF(H93=0,DATE(2026,10,29),IF(H93=1,DATE(2026,10,30),DATE(2026,11,2)+7*INT((H93-2)/3)+CHOOSE(MOD(H93-2,3)+1,0,2,4)))</f>
        <v/>
      </c>
    </row>
    <row r="94" ht="23.85" customHeight="1" s="24">
      <c r="A94" s="43" t="n">
        <v>93</v>
      </c>
      <c r="B94" s="44" t="inlineStr">
        <is>
          <t>Roma régia e a Itália arcaica (753–510 a.C.)</t>
        </is>
      </c>
      <c r="C94" s="45" t="inlineStr">
        <is>
          <t>c. 600 a.C.</t>
        </is>
      </c>
      <c r="D94" s="44" t="inlineStr">
        <is>
          <t>Os Latinos e as cidades da Liga: Túsculo e Aricia</t>
        </is>
      </c>
      <c r="E94" s="44" t="inlineStr">
        <is>
          <t>Túsculo</t>
        </is>
      </c>
      <c r="F94" s="45" t="inlineStr">
        <is>
          <t>Pendente</t>
        </is>
      </c>
      <c r="G94" s="45" t="n">
        <v>-600</v>
      </c>
      <c r="H94" s="43" t="n">
        <v>47</v>
      </c>
      <c r="I94" s="46">
        <f>IF(H94=0,DATE(2026,10,29),IF(H94=1,DATE(2026,10,30),DATE(2026,11,2)+7*INT((H94-2)/3)+CHOOSE(MOD(H94-2,3)+1,0,2,4)))</f>
        <v/>
      </c>
    </row>
    <row r="95" ht="23.85" customHeight="1" s="24">
      <c r="A95" s="43" t="n">
        <v>94</v>
      </c>
      <c r="B95" s="44" t="inlineStr">
        <is>
          <t>Roma régia e a Itália arcaica (753–510 a.C.)</t>
        </is>
      </c>
      <c r="C95" s="45" t="inlineStr">
        <is>
          <t>c. 600 a.C.</t>
        </is>
      </c>
      <c r="D95" s="44" t="inlineStr">
        <is>
          <t>O Fórum Boário e o culto de Hércules</t>
        </is>
      </c>
      <c r="E95" s="44" t="inlineStr">
        <is>
          <t>Fórum Boário, Roma</t>
        </is>
      </c>
      <c r="F95" s="45" t="inlineStr">
        <is>
          <t>Pendente</t>
        </is>
      </c>
      <c r="G95" s="45" t="n">
        <v>-600</v>
      </c>
      <c r="H95" s="43" t="n">
        <v>48</v>
      </c>
      <c r="I95" s="46">
        <f>IF(H95=0,DATE(2026,10,29),IF(H95=1,DATE(2026,10,30),DATE(2026,11,2)+7*INT((H95-2)/3)+CHOOSE(MOD(H95-2,3)+1,0,2,4)))</f>
        <v/>
      </c>
    </row>
    <row r="96" ht="23.85" customHeight="1" s="24">
      <c r="A96" s="43" t="n">
        <v>95</v>
      </c>
      <c r="B96" s="44" t="inlineStr">
        <is>
          <t>Roma régia e a Itália arcaica (753–510 a.C.)</t>
        </is>
      </c>
      <c r="C96" s="45" t="inlineStr">
        <is>
          <t>600 a.C.</t>
        </is>
      </c>
      <c r="D96" s="44" t="inlineStr">
        <is>
          <t>O Fórum Romano nasce como praça</t>
        </is>
      </c>
      <c r="E96" s="44" t="inlineStr">
        <is>
          <t>Fórum Romano, Roma</t>
        </is>
      </c>
      <c r="F96" s="45" t="inlineStr">
        <is>
          <t>Pendente</t>
        </is>
      </c>
      <c r="G96" s="45" t="n">
        <v>-600</v>
      </c>
      <c r="H96" s="43" t="n">
        <v>49</v>
      </c>
      <c r="I96" s="46">
        <f>IF(H96=0,DATE(2026,10,29),IF(H96=1,DATE(2026,10,30),DATE(2026,11,2)+7*INT((H96-2)/3)+CHOOSE(MOD(H96-2,3)+1,0,2,4)))</f>
        <v/>
      </c>
    </row>
    <row r="97" ht="23.85" customHeight="1" s="24">
      <c r="A97" s="43" t="n">
        <v>96</v>
      </c>
      <c r="B97" s="44" t="inlineStr">
        <is>
          <t>Roma régia e a Itália arcaica (753–510 a.C.)</t>
        </is>
      </c>
      <c r="C97" s="45" t="inlineStr">
        <is>
          <t>c. 590 a.C.</t>
        </is>
      </c>
      <c r="D97" s="44" t="inlineStr">
        <is>
          <t>O primeiro projeto do Capitólio</t>
        </is>
      </c>
      <c r="E97" s="44" t="inlineStr">
        <is>
          <t>Museus Capitolinos, Roma</t>
        </is>
      </c>
      <c r="F97" s="45" t="inlineStr">
        <is>
          <t>Pendente</t>
        </is>
      </c>
      <c r="G97" s="45" t="n">
        <v>-590</v>
      </c>
      <c r="H97" s="43" t="n">
        <v>50</v>
      </c>
      <c r="I97" s="46">
        <f>IF(H97=0,DATE(2026,10,29),IF(H97=1,DATE(2026,10,30),DATE(2026,11,2)+7*INT((H97-2)/3)+CHOOSE(MOD(H97-2,3)+1,0,2,4)))</f>
        <v/>
      </c>
    </row>
    <row r="98" ht="23.85" customHeight="1" s="24">
      <c r="A98" s="43" t="n">
        <v>97</v>
      </c>
      <c r="B98" s="44" t="inlineStr">
        <is>
          <t>Roma régia e a Itália arcaica (753–510 a.C.)</t>
        </is>
      </c>
      <c r="C98" s="45" t="inlineStr">
        <is>
          <t>c. 580 a.C.</t>
        </is>
      </c>
      <c r="D98" s="44" t="inlineStr">
        <is>
          <t>Orvieto: a cidade sobre o tufo</t>
        </is>
      </c>
      <c r="E98" s="44" t="inlineStr">
        <is>
          <t>Orvieto</t>
        </is>
      </c>
      <c r="F98" s="45" t="inlineStr">
        <is>
          <t>Pendente</t>
        </is>
      </c>
      <c r="G98" s="45" t="n">
        <v>-580</v>
      </c>
      <c r="H98" s="43" t="n">
        <v>51</v>
      </c>
      <c r="I98" s="46">
        <f>IF(H98=0,DATE(2026,10,29),IF(H98=1,DATE(2026,10,30),DATE(2026,11,2)+7*INT((H98-2)/3)+CHOOSE(MOD(H98-2,3)+1,0,2,4)))</f>
        <v/>
      </c>
    </row>
    <row r="99" ht="23.85" customHeight="1" s="24">
      <c r="A99" s="43" t="n">
        <v>98</v>
      </c>
      <c r="B99" s="44" t="inlineStr">
        <is>
          <t>Roma régia e a Itália arcaica (753–510 a.C.)</t>
        </is>
      </c>
      <c r="C99" s="45" t="inlineStr">
        <is>
          <t>c. 580 a.C.</t>
        </is>
      </c>
      <c r="D99" s="44" t="inlineStr">
        <is>
          <t>Agrigento: o Vale dos Templos</t>
        </is>
      </c>
      <c r="E99" s="44" t="inlineStr">
        <is>
          <t>Vale dos Templos, Agrigento</t>
        </is>
      </c>
      <c r="F99" s="45" t="inlineStr">
        <is>
          <t>Pendente</t>
        </is>
      </c>
      <c r="G99" s="45" t="n">
        <v>-580</v>
      </c>
      <c r="H99" s="43" t="n">
        <v>52</v>
      </c>
      <c r="I99" s="46">
        <f>IF(H99=0,DATE(2026,10,29),IF(H99=1,DATE(2026,10,30),DATE(2026,11,2)+7*INT((H99-2)/3)+CHOOSE(MOD(H99-2,3)+1,0,2,4)))</f>
        <v/>
      </c>
    </row>
    <row r="100" ht="23.85" customHeight="1" s="24">
      <c r="A100" s="43" t="n">
        <v>99</v>
      </c>
      <c r="B100" s="44" t="inlineStr">
        <is>
          <t>Roma régia e a Itália arcaica (753–510 a.C.)</t>
        </is>
      </c>
      <c r="C100" s="45" t="inlineStr">
        <is>
          <t>578 a.C.</t>
        </is>
      </c>
      <c r="D100" s="44" t="inlineStr">
        <is>
          <t>Sérvio Túlio: o rei de origem humilde</t>
        </is>
      </c>
      <c r="E100" s="44" t="inlineStr">
        <is>
          <t>Fórum Boário, Roma</t>
        </is>
      </c>
      <c r="F100" s="45" t="inlineStr">
        <is>
          <t>Pendente</t>
        </is>
      </c>
      <c r="G100" s="45" t="n">
        <v>-578</v>
      </c>
      <c r="H100" s="43" t="n">
        <v>53</v>
      </c>
      <c r="I100" s="46">
        <f>IF(H100=0,DATE(2026,10,29),IF(H100=1,DATE(2026,10,30),DATE(2026,11,2)+7*INT((H100-2)/3)+CHOOSE(MOD(H100-2,3)+1,0,2,4)))</f>
        <v/>
      </c>
    </row>
    <row r="101" ht="23.85" customHeight="1" s="24">
      <c r="A101" s="43" t="n">
        <v>100</v>
      </c>
      <c r="B101" s="44" t="inlineStr">
        <is>
          <t>Roma régia e a Itália arcaica (753–510 a.C.)</t>
        </is>
      </c>
      <c r="C101" s="45" t="inlineStr">
        <is>
          <t>c. 575 a.C.</t>
        </is>
      </c>
      <c r="D101" s="44" t="inlineStr">
        <is>
          <t>Chiusi: a cidade do rei Porsena</t>
        </is>
      </c>
      <c r="E101" s="44" t="inlineStr">
        <is>
          <t>Chiusi</t>
        </is>
      </c>
      <c r="F101" s="45" t="inlineStr">
        <is>
          <t>Pendente</t>
        </is>
      </c>
      <c r="G101" s="45" t="n">
        <v>-575</v>
      </c>
      <c r="H101" s="43" t="n">
        <v>54</v>
      </c>
      <c r="I101" s="46">
        <f>IF(H101=0,DATE(2026,10,29),IF(H101=1,DATE(2026,10,30),DATE(2026,11,2)+7*INT((H101-2)/3)+CHOOSE(MOD(H101-2,3)+1,0,2,4)))</f>
        <v/>
      </c>
    </row>
    <row r="102" ht="23.85" customHeight="1" s="24">
      <c r="A102" s="43" t="n">
        <v>101</v>
      </c>
      <c r="B102" s="44" t="inlineStr">
        <is>
          <t>Roma régia e a Itália arcaica (753–510 a.C.)</t>
        </is>
      </c>
      <c r="C102" s="45" t="inlineStr">
        <is>
          <t>c. 575 a.C.</t>
        </is>
      </c>
      <c r="D102" s="44" t="inlineStr">
        <is>
          <t>A reforma de Sérvio: classes, centúrias e exército</t>
        </is>
      </c>
      <c r="E102" s="44" t="inlineStr">
        <is>
          <t>Fórum Romano, Roma</t>
        </is>
      </c>
      <c r="F102" s="45" t="inlineStr">
        <is>
          <t>Pendente</t>
        </is>
      </c>
      <c r="G102" s="45" t="n">
        <v>-575</v>
      </c>
      <c r="H102" s="43" t="n">
        <v>55</v>
      </c>
      <c r="I102" s="46">
        <f>IF(H102=0,DATE(2026,10,29),IF(H102=1,DATE(2026,10,30),DATE(2026,11,2)+7*INT((H102-2)/3)+CHOOSE(MOD(H102-2,3)+1,0,2,4)))</f>
        <v/>
      </c>
    </row>
    <row r="103" ht="23.85" customHeight="1" s="24">
      <c r="A103" s="43" t="n">
        <v>102</v>
      </c>
      <c r="B103" s="44" t="inlineStr">
        <is>
          <t>Roma régia e a Itália arcaica (753–510 a.C.)</t>
        </is>
      </c>
      <c r="C103" s="45" t="inlineStr">
        <is>
          <t>c. 570 a.C.</t>
        </is>
      </c>
      <c r="D103" s="44" t="inlineStr">
        <is>
          <t>A Muralha Serviana</t>
        </is>
      </c>
      <c r="E103" s="44" t="inlineStr">
        <is>
          <t>Muralha Serviana, estação Termini, Roma</t>
        </is>
      </c>
      <c r="F103" s="45" t="inlineStr">
        <is>
          <t>Pendente</t>
        </is>
      </c>
      <c r="G103" s="45" t="n">
        <v>-570</v>
      </c>
      <c r="H103" s="43" t="n">
        <v>56</v>
      </c>
      <c r="I103" s="46">
        <f>IF(H103=0,DATE(2026,10,29),IF(H103=1,DATE(2026,10,30),DATE(2026,11,2)+7*INT((H103-2)/3)+CHOOSE(MOD(H103-2,3)+1,0,2,4)))</f>
        <v/>
      </c>
    </row>
    <row r="104" ht="23.85" customHeight="1" s="24">
      <c r="A104" s="43" t="n">
        <v>103</v>
      </c>
      <c r="B104" s="44" t="inlineStr">
        <is>
          <t>Roma régia e a Itália arcaica (753–510 a.C.)</t>
        </is>
      </c>
      <c r="C104" s="45" t="inlineStr">
        <is>
          <t>c. 570 a.C.</t>
        </is>
      </c>
      <c r="D104" s="44" t="inlineStr">
        <is>
          <t>Volterra: a cidade do alabastro</t>
        </is>
      </c>
      <c r="E104" s="44" t="inlineStr">
        <is>
          <t>Volterra</t>
        </is>
      </c>
      <c r="F104" s="45" t="inlineStr">
        <is>
          <t>Pendente</t>
        </is>
      </c>
      <c r="G104" s="45" t="n">
        <v>-570</v>
      </c>
      <c r="H104" s="43" t="n">
        <v>57</v>
      </c>
      <c r="I104" s="46">
        <f>IF(H104=0,DATE(2026,10,29),IF(H104=1,DATE(2026,10,30),DATE(2026,11,2)+7*INT((H104-2)/3)+CHOOSE(MOD(H104-2,3)+1,0,2,4)))</f>
        <v/>
      </c>
    </row>
    <row r="105" ht="23.85" customHeight="1" s="24">
      <c r="A105" s="43" t="n">
        <v>104</v>
      </c>
      <c r="B105" s="44" t="inlineStr">
        <is>
          <t>Roma régia e a Itália arcaica (753–510 a.C.)</t>
        </is>
      </c>
      <c r="C105" s="45" t="inlineStr">
        <is>
          <t>c. 570 a.C.</t>
        </is>
      </c>
      <c r="D105" s="44" t="inlineStr">
        <is>
          <t>O Lapis Niger: a inscrição mais antiga do Fórum</t>
        </is>
      </c>
      <c r="E105" s="44" t="inlineStr">
        <is>
          <t>Fórum Romano, Roma</t>
        </is>
      </c>
      <c r="F105" s="45" t="inlineStr">
        <is>
          <t>Pendente</t>
        </is>
      </c>
      <c r="G105" s="45" t="n">
        <v>-570</v>
      </c>
      <c r="H105" s="43" t="n">
        <v>58</v>
      </c>
      <c r="I105" s="46">
        <f>IF(H105=0,DATE(2026,10,29),IF(H105=1,DATE(2026,10,30),DATE(2026,11,2)+7*INT((H105-2)/3)+CHOOSE(MOD(H105-2,3)+1,0,2,4)))</f>
        <v/>
      </c>
    </row>
    <row r="106" ht="23.85" customHeight="1" s="24">
      <c r="A106" s="43" t="n">
        <v>105</v>
      </c>
      <c r="B106" s="44" t="inlineStr">
        <is>
          <t>Roma régia e a Itália arcaica (753–510 a.C.)</t>
        </is>
      </c>
      <c r="C106" s="45" t="inlineStr">
        <is>
          <t>c. 570 a.C.</t>
        </is>
      </c>
      <c r="D106" s="44" t="inlineStr">
        <is>
          <t>Segesta e os élimos</t>
        </is>
      </c>
      <c r="E106" s="44" t="inlineStr">
        <is>
          <t>Segesta</t>
        </is>
      </c>
      <c r="F106" s="45" t="inlineStr">
        <is>
          <t>Pendente</t>
        </is>
      </c>
      <c r="G106" s="45" t="n">
        <v>-570</v>
      </c>
      <c r="H106" s="43" t="n">
        <v>59</v>
      </c>
      <c r="I106" s="46">
        <f>IF(H106=0,DATE(2026,10,29),IF(H106=1,DATE(2026,10,30),DATE(2026,11,2)+7*INT((H106-2)/3)+CHOOSE(MOD(H106-2,3)+1,0,2,4)))</f>
        <v/>
      </c>
    </row>
    <row r="107" ht="23.85" customHeight="1" s="24">
      <c r="A107" s="43" t="n">
        <v>106</v>
      </c>
      <c r="B107" s="44" t="inlineStr">
        <is>
          <t>Roma régia e a Itália arcaica (753–510 a.C.)</t>
        </is>
      </c>
      <c r="C107" s="45" t="inlineStr">
        <is>
          <t>c. 560 a.C.</t>
        </is>
      </c>
      <c r="D107" s="44" t="inlineStr">
        <is>
          <t>O templo de Diana no Aventino e a Liga Latina</t>
        </is>
      </c>
      <c r="E107" s="44" t="inlineStr">
        <is>
          <t>Aventino, Roma</t>
        </is>
      </c>
      <c r="F107" s="45" t="inlineStr">
        <is>
          <t>Pendente</t>
        </is>
      </c>
      <c r="G107" s="45" t="n">
        <v>-560</v>
      </c>
      <c r="H107" s="43" t="n">
        <v>60</v>
      </c>
      <c r="I107" s="46">
        <f>IF(H107=0,DATE(2026,10,29),IF(H107=1,DATE(2026,10,30),DATE(2026,11,2)+7*INT((H107-2)/3)+CHOOSE(MOD(H107-2,3)+1,0,2,4)))</f>
        <v/>
      </c>
    </row>
    <row r="108" ht="23.85" customHeight="1" s="24">
      <c r="A108" s="43" t="n">
        <v>107</v>
      </c>
      <c r="B108" s="44" t="inlineStr">
        <is>
          <t>Roma régia e a Itália arcaica (753–510 a.C.)</t>
        </is>
      </c>
      <c r="C108" s="45" t="inlineStr">
        <is>
          <t>c. 560 a.C.</t>
        </is>
      </c>
      <c r="D108" s="44" t="inlineStr">
        <is>
          <t>Perugia etrusca</t>
        </is>
      </c>
      <c r="E108" s="44" t="inlineStr">
        <is>
          <t>Perugia</t>
        </is>
      </c>
      <c r="F108" s="45" t="inlineStr">
        <is>
          <t>Pendente</t>
        </is>
      </c>
      <c r="G108" s="45" t="n">
        <v>-560</v>
      </c>
      <c r="H108" s="43" t="n">
        <v>61</v>
      </c>
      <c r="I108" s="46">
        <f>IF(H108=0,DATE(2026,10,29),IF(H108=1,DATE(2026,10,30),DATE(2026,11,2)+7*INT((H108-2)/3)+CHOOSE(MOD(H108-2,3)+1,0,2,4)))</f>
        <v/>
      </c>
    </row>
    <row r="109" ht="23.85" customHeight="1" s="24">
      <c r="A109" s="43" t="n">
        <v>108</v>
      </c>
      <c r="B109" s="44" t="inlineStr">
        <is>
          <t>Roma régia e a Itália arcaica (753–510 a.C.)</t>
        </is>
      </c>
      <c r="C109" s="45" t="inlineStr">
        <is>
          <t>c. 550 a.C.</t>
        </is>
      </c>
      <c r="D109" s="44" t="inlineStr">
        <is>
          <t>A Área Sagrada de Sant'Omobono: Fortuna e Mater Matuta</t>
        </is>
      </c>
      <c r="E109" s="44" t="inlineStr">
        <is>
          <t>Sant'Omobono, Roma</t>
        </is>
      </c>
      <c r="F109" s="45" t="inlineStr">
        <is>
          <t>Pendente</t>
        </is>
      </c>
      <c r="G109" s="45" t="n">
        <v>-550</v>
      </c>
      <c r="H109" s="43" t="n">
        <v>62</v>
      </c>
      <c r="I109" s="46">
        <f>IF(H109=0,DATE(2026,10,29),IF(H109=1,DATE(2026,10,30),DATE(2026,11,2)+7*INT((H109-2)/3)+CHOOSE(MOD(H109-2,3)+1,0,2,4)))</f>
        <v/>
      </c>
    </row>
    <row r="110" ht="23.85" customHeight="1" s="24">
      <c r="A110" s="43" t="n">
        <v>109</v>
      </c>
      <c r="B110" s="44" t="inlineStr">
        <is>
          <t>Roma régia e a Itália arcaica (753–510 a.C.)</t>
        </is>
      </c>
      <c r="C110" s="45" t="inlineStr">
        <is>
          <t>c. 550 a.C.</t>
        </is>
      </c>
      <c r="D110" s="44" t="inlineStr">
        <is>
          <t>Cortona: o museu da Academia Etrusca</t>
        </is>
      </c>
      <c r="E110" s="44" t="inlineStr">
        <is>
          <t>Cortona</t>
        </is>
      </c>
      <c r="F110" s="45" t="inlineStr">
        <is>
          <t>Pendente</t>
        </is>
      </c>
      <c r="G110" s="45" t="n">
        <v>-550</v>
      </c>
      <c r="H110" s="43" t="n">
        <v>63</v>
      </c>
      <c r="I110" s="46">
        <f>IF(H110=0,DATE(2026,10,29),IF(H110=1,DATE(2026,10,30),DATE(2026,11,2)+7*INT((H110-2)/3)+CHOOSE(MOD(H110-2,3)+1,0,2,4)))</f>
        <v/>
      </c>
    </row>
    <row r="111" ht="23.85" customHeight="1" s="24">
      <c r="A111" s="43" t="n">
        <v>110</v>
      </c>
      <c r="B111" s="44" t="inlineStr">
        <is>
          <t>Roma régia e a Itália arcaica (753–510 a.C.)</t>
        </is>
      </c>
      <c r="C111" s="45" t="inlineStr">
        <is>
          <t>c. 550 a.C.</t>
        </is>
      </c>
      <c r="D111" s="44" t="inlineStr">
        <is>
          <t>Os samnitas: o povo da montanha</t>
        </is>
      </c>
      <c r="E111" s="44" t="inlineStr">
        <is>
          <t>Pietrabbondante</t>
        </is>
      </c>
      <c r="F111" s="45" t="inlineStr">
        <is>
          <t>Pendente</t>
        </is>
      </c>
      <c r="G111" s="45" t="n">
        <v>-550</v>
      </c>
      <c r="H111" s="43" t="n">
        <v>64</v>
      </c>
      <c r="I111" s="46">
        <f>IF(H111=0,DATE(2026,10,29),IF(H111=1,DATE(2026,10,30),DATE(2026,11,2)+7*INT((H111-2)/3)+CHOOSE(MOD(H111-2,3)+1,0,2,4)))</f>
        <v/>
      </c>
    </row>
    <row r="112" ht="23.85" customHeight="1" s="24">
      <c r="A112" s="43" t="n">
        <v>111</v>
      </c>
      <c r="B112" s="44" t="inlineStr">
        <is>
          <t>Roma régia e a Itália arcaica (753–510 a.C.)</t>
        </is>
      </c>
      <c r="C112" s="45" t="inlineStr">
        <is>
          <t>c. 540 a.C.</t>
        </is>
      </c>
      <c r="D112" s="44" t="inlineStr">
        <is>
          <t>A arte etrusca: bronzistas e ourives</t>
        </is>
      </c>
      <c r="E112" s="44" t="inlineStr">
        <is>
          <t>Museu Arqueológico Nacional, Florença</t>
        </is>
      </c>
      <c r="F112" s="45" t="inlineStr">
        <is>
          <t>Pendente</t>
        </is>
      </c>
      <c r="G112" s="45" t="n">
        <v>-540</v>
      </c>
      <c r="H112" s="43" t="n">
        <v>65</v>
      </c>
      <c r="I112" s="46">
        <f>IF(H112=0,DATE(2026,10,29),IF(H112=1,DATE(2026,10,30),DATE(2026,11,2)+7*INT((H112-2)/3)+CHOOSE(MOD(H112-2,3)+1,0,2,4)))</f>
        <v/>
      </c>
    </row>
    <row r="113" ht="23.85" customHeight="1" s="24">
      <c r="A113" s="43" t="n">
        <v>112</v>
      </c>
      <c r="B113" s="44" t="inlineStr">
        <is>
          <t>Roma régia e a Itália arcaica (753–510 a.C.)</t>
        </is>
      </c>
      <c r="C113" s="45" t="inlineStr">
        <is>
          <t>540 a.C.</t>
        </is>
      </c>
      <c r="D113" s="44" t="inlineStr">
        <is>
          <t>A batalha de Alália: etruscos e cartagineses contra gregos</t>
        </is>
      </c>
      <c r="E113" s="44" t="inlineStr">
        <is>
          <t>Populônia</t>
        </is>
      </c>
      <c r="F113" s="45" t="inlineStr">
        <is>
          <t>Pendente</t>
        </is>
      </c>
      <c r="G113" s="45" t="n">
        <v>-540</v>
      </c>
      <c r="H113" s="43" t="n">
        <v>66</v>
      </c>
      <c r="I113" s="46">
        <f>IF(H113=0,DATE(2026,10,29),IF(H113=1,DATE(2026,10,30),DATE(2026,11,2)+7*INT((H113-2)/3)+CHOOSE(MOD(H113-2,3)+1,0,2,4)))</f>
        <v/>
      </c>
    </row>
    <row r="114" ht="23.85" customHeight="1" s="24">
      <c r="A114" s="43" t="n">
        <v>113</v>
      </c>
      <c r="B114" s="44" t="inlineStr">
        <is>
          <t>Roma régia e a Itália arcaica (753–510 a.C.)</t>
        </is>
      </c>
      <c r="C114" s="45" t="inlineStr">
        <is>
          <t>c. 540 a.C.</t>
        </is>
      </c>
      <c r="D114" s="44" t="inlineStr">
        <is>
          <t>Pyrgi: o porto de Cerveteri</t>
        </is>
      </c>
      <c r="E114" s="44" t="inlineStr">
        <is>
          <t>Pyrgi, Santa Severa</t>
        </is>
      </c>
      <c r="F114" s="45" t="inlineStr">
        <is>
          <t>Pendente</t>
        </is>
      </c>
      <c r="G114" s="45" t="n">
        <v>-540</v>
      </c>
      <c r="H114" s="43" t="n">
        <v>67</v>
      </c>
      <c r="I114" s="46">
        <f>IF(H114=0,DATE(2026,10,29),IF(H114=1,DATE(2026,10,30),DATE(2026,11,2)+7*INT((H114-2)/3)+CHOOSE(MOD(H114-2,3)+1,0,2,4)))</f>
        <v/>
      </c>
    </row>
    <row r="115" ht="23.85" customHeight="1" s="24">
      <c r="A115" s="43" t="n">
        <v>114</v>
      </c>
      <c r="B115" s="44" t="inlineStr">
        <is>
          <t>Roma régia e a Itália arcaica (753–510 a.C.)</t>
        </is>
      </c>
      <c r="C115" s="45" t="inlineStr">
        <is>
          <t>c. 540 a.C.</t>
        </is>
      </c>
      <c r="D115" s="44" t="inlineStr">
        <is>
          <t>O templo de Júpiter Capitolino: obra de reis</t>
        </is>
      </c>
      <c r="E115" s="44" t="inlineStr">
        <is>
          <t>Capitólio, Roma</t>
        </is>
      </c>
      <c r="F115" s="45" t="inlineStr">
        <is>
          <t>Pendente</t>
        </is>
      </c>
      <c r="G115" s="45" t="n">
        <v>-540</v>
      </c>
      <c r="H115" s="43" t="n">
        <v>68</v>
      </c>
      <c r="I115" s="46">
        <f>IF(H115=0,DATE(2026,10,29),IF(H115=1,DATE(2026,10,30),DATE(2026,11,2)+7*INT((H115-2)/3)+CHOOSE(MOD(H115-2,3)+1,0,2,4)))</f>
        <v/>
      </c>
    </row>
    <row r="116" ht="23.85" customHeight="1" s="24">
      <c r="A116" s="43" t="n">
        <v>115</v>
      </c>
      <c r="B116" s="44" t="inlineStr">
        <is>
          <t>Roma régia e a Itália arcaica (753–510 a.C.)</t>
        </is>
      </c>
      <c r="C116" s="45" t="inlineStr">
        <is>
          <t>534 a.C.</t>
        </is>
      </c>
      <c r="D116" s="44" t="inlineStr">
        <is>
          <t>O assassinato de Sérvio Túlio</t>
        </is>
      </c>
      <c r="E116" s="44" t="inlineStr">
        <is>
          <t>Fórum Romano, Roma</t>
        </is>
      </c>
      <c r="F116" s="45" t="inlineStr">
        <is>
          <t>Pendente</t>
        </is>
      </c>
      <c r="G116" s="45" t="n">
        <v>-534</v>
      </c>
      <c r="H116" s="43" t="n">
        <v>69</v>
      </c>
      <c r="I116" s="46">
        <f>IF(H116=0,DATE(2026,10,29),IF(H116=1,DATE(2026,10,30),DATE(2026,11,2)+7*INT((H116-2)/3)+CHOOSE(MOD(H116-2,3)+1,0,2,4)))</f>
        <v/>
      </c>
    </row>
    <row r="117" ht="23.85" customHeight="1" s="24">
      <c r="A117" s="43" t="n">
        <v>116</v>
      </c>
      <c r="B117" s="44" t="inlineStr">
        <is>
          <t>Roma régia e a Itália arcaica (753–510 a.C.)</t>
        </is>
      </c>
      <c r="C117" s="45" t="inlineStr">
        <is>
          <t>534 a.C.</t>
        </is>
      </c>
      <c r="D117" s="44" t="inlineStr">
        <is>
          <t>Tarquínio, o Soberbo: o último rei</t>
        </is>
      </c>
      <c r="E117" s="44" t="inlineStr">
        <is>
          <t>Capitólio, Roma</t>
        </is>
      </c>
      <c r="F117" s="45" t="inlineStr">
        <is>
          <t>Pendente</t>
        </is>
      </c>
      <c r="G117" s="45" t="n">
        <v>-534</v>
      </c>
      <c r="H117" s="43" t="n">
        <v>70</v>
      </c>
      <c r="I117" s="46">
        <f>IF(H117=0,DATE(2026,10,29),IF(H117=1,DATE(2026,10,30),DATE(2026,11,2)+7*INT((H117-2)/3)+CHOOSE(MOD(H117-2,3)+1,0,2,4)))</f>
        <v/>
      </c>
    </row>
    <row r="118" ht="23.85" customHeight="1" s="24">
      <c r="A118" s="43" t="n">
        <v>117</v>
      </c>
      <c r="B118" s="44" t="inlineStr">
        <is>
          <t>Roma régia e a Itália arcaica (753–510 a.C.)</t>
        </is>
      </c>
      <c r="C118" s="45" t="inlineStr">
        <is>
          <t>c. 530 a.C.</t>
        </is>
      </c>
      <c r="D118" s="44" t="inlineStr">
        <is>
          <t>O Apolo de Veios</t>
        </is>
      </c>
      <c r="E118" s="44" t="inlineStr">
        <is>
          <t>Museo Nazionale Etrusco di Villa Giulia, Roma</t>
        </is>
      </c>
      <c r="F118" s="45" t="inlineStr">
        <is>
          <t>Pendente</t>
        </is>
      </c>
      <c r="G118" s="45" t="n">
        <v>-530</v>
      </c>
      <c r="H118" s="43" t="n">
        <v>71</v>
      </c>
      <c r="I118" s="46">
        <f>IF(H118=0,DATE(2026,10,29),IF(H118=1,DATE(2026,10,30),DATE(2026,11,2)+7*INT((H118-2)/3)+CHOOSE(MOD(H118-2,3)+1,0,2,4)))</f>
        <v/>
      </c>
    </row>
    <row r="119" ht="23.85" customHeight="1" s="24">
      <c r="A119" s="43" t="n">
        <v>118</v>
      </c>
      <c r="B119" s="44" t="inlineStr">
        <is>
          <t>Roma régia e a Itália arcaica (753–510 a.C.)</t>
        </is>
      </c>
      <c r="C119" s="45" t="inlineStr">
        <is>
          <t>c. 530 a.C.</t>
        </is>
      </c>
      <c r="D119" s="44" t="inlineStr">
        <is>
          <t>Pitágoras em Crotone</t>
        </is>
      </c>
      <c r="E119" s="44" t="inlineStr">
        <is>
          <t>Crotone</t>
        </is>
      </c>
      <c r="F119" s="45" t="inlineStr">
        <is>
          <t>Pendente</t>
        </is>
      </c>
      <c r="G119" s="45" t="n">
        <v>-530</v>
      </c>
      <c r="H119" s="43" t="n">
        <v>72</v>
      </c>
      <c r="I119" s="46">
        <f>IF(H119=0,DATE(2026,10,29),IF(H119=1,DATE(2026,10,30),DATE(2026,11,2)+7*INT((H119-2)/3)+CHOOSE(MOD(H119-2,3)+1,0,2,4)))</f>
        <v/>
      </c>
    </row>
    <row r="120" ht="23.85" customHeight="1" s="24">
      <c r="A120" s="43" t="n">
        <v>119</v>
      </c>
      <c r="B120" s="44" t="inlineStr">
        <is>
          <t>Roma régia e a Itália arcaica (753–510 a.C.)</t>
        </is>
      </c>
      <c r="C120" s="45" t="inlineStr">
        <is>
          <t>c. 530 a.C.</t>
        </is>
      </c>
      <c r="D120" s="44" t="inlineStr">
        <is>
          <t>Eleia (Vélia): Parmênides e Zenão</t>
        </is>
      </c>
      <c r="E120" s="44" t="inlineStr">
        <is>
          <t>Parco Archeologico di Elea-Velia</t>
        </is>
      </c>
      <c r="F120" s="45" t="inlineStr">
        <is>
          <t>Pendente</t>
        </is>
      </c>
      <c r="G120" s="45" t="n">
        <v>-530</v>
      </c>
      <c r="H120" s="43" t="n">
        <v>73</v>
      </c>
      <c r="I120" s="46">
        <f>IF(H120=0,DATE(2026,10,29),IF(H120=1,DATE(2026,10,30),DATE(2026,11,2)+7*INT((H120-2)/3)+CHOOSE(MOD(H120-2,3)+1,0,2,4)))</f>
        <v/>
      </c>
    </row>
    <row r="121" ht="23.85" customHeight="1" s="24">
      <c r="A121" s="43" t="n">
        <v>120</v>
      </c>
      <c r="B121" s="44" t="inlineStr">
        <is>
          <t>Roma régia e a Itália arcaica (753–510 a.C.)</t>
        </is>
      </c>
      <c r="C121" s="45" t="inlineStr">
        <is>
          <t>c. 525 a.C.</t>
        </is>
      </c>
      <c r="D121" s="44" t="inlineStr">
        <is>
          <t>Os Livros Sibilinos</t>
        </is>
      </c>
      <c r="E121" s="44" t="inlineStr">
        <is>
          <t>Capitólio, Roma</t>
        </is>
      </c>
      <c r="F121" s="45" t="inlineStr">
        <is>
          <t>Pendente</t>
        </is>
      </c>
      <c r="G121" s="45" t="n">
        <v>-525</v>
      </c>
      <c r="H121" s="43" t="n">
        <v>74</v>
      </c>
      <c r="I121" s="46">
        <f>IF(H121=0,DATE(2026,10,29),IF(H121=1,DATE(2026,10,30),DATE(2026,11,2)+7*INT((H121-2)/3)+CHOOSE(MOD(H121-2,3)+1,0,2,4)))</f>
        <v/>
      </c>
    </row>
    <row r="122" ht="23.85" customHeight="1" s="24">
      <c r="A122" s="43" t="n">
        <v>121</v>
      </c>
      <c r="B122" s="44" t="inlineStr">
        <is>
          <t>Roma régia e a Itália arcaica (753–510 a.C.)</t>
        </is>
      </c>
      <c r="C122" s="45" t="inlineStr">
        <is>
          <t>c. 520 a.C.</t>
        </is>
      </c>
      <c r="D122" s="44" t="inlineStr">
        <is>
          <t>Música e dança etruscas</t>
        </is>
      </c>
      <c r="E122" s="44" t="inlineStr">
        <is>
          <t>Tarquínia</t>
        </is>
      </c>
      <c r="F122" s="45" t="inlineStr">
        <is>
          <t>Pendente</t>
        </is>
      </c>
      <c r="G122" s="45" t="n">
        <v>-520</v>
      </c>
      <c r="H122" s="43" t="n">
        <v>75</v>
      </c>
      <c r="I122" s="46">
        <f>IF(H122=0,DATE(2026,10,29),IF(H122=1,DATE(2026,10,30),DATE(2026,11,2)+7*INT((H122-2)/3)+CHOOSE(MOD(H122-2,3)+1,0,2,4)))</f>
        <v/>
      </c>
    </row>
    <row r="123" ht="23.85" customHeight="1" s="24">
      <c r="A123" s="43" t="n">
        <v>122</v>
      </c>
      <c r="B123" s="44" t="inlineStr">
        <is>
          <t>Roma régia e a Itália arcaica (753–510 a.C.)</t>
        </is>
      </c>
      <c r="C123" s="45" t="inlineStr">
        <is>
          <t>c. 520 a.C.</t>
        </is>
      </c>
      <c r="D123" s="44" t="inlineStr">
        <is>
          <t>Os volscos e os équos</t>
        </is>
      </c>
      <c r="E123" s="44" t="inlineStr">
        <is>
          <t>Cori</t>
        </is>
      </c>
      <c r="F123" s="45" t="inlineStr">
        <is>
          <t>Pendente</t>
        </is>
      </c>
      <c r="G123" s="45" t="n">
        <v>-520</v>
      </c>
      <c r="H123" s="43" t="n">
        <v>76</v>
      </c>
      <c r="I123" s="46">
        <f>IF(H123=0,DATE(2026,10,29),IF(H123=1,DATE(2026,10,30),DATE(2026,11,2)+7*INT((H123-2)/3)+CHOOSE(MOD(H123-2,3)+1,0,2,4)))</f>
        <v/>
      </c>
    </row>
    <row r="124" ht="23.85" customHeight="1" s="24">
      <c r="A124" s="43" t="n">
        <v>123</v>
      </c>
      <c r="B124" s="44" t="inlineStr">
        <is>
          <t>Roma régia e a Itália arcaica (753–510 a.C.)</t>
        </is>
      </c>
      <c r="C124" s="45" t="inlineStr">
        <is>
          <t>c. 520 a.C.</t>
        </is>
      </c>
      <c r="D124" s="44" t="inlineStr">
        <is>
          <t>Os jogos e esportes etruscos</t>
        </is>
      </c>
      <c r="E124" s="44" t="inlineStr">
        <is>
          <t>Tarquínia</t>
        </is>
      </c>
      <c r="F124" s="45" t="inlineStr">
        <is>
          <t>Pendente</t>
        </is>
      </c>
      <c r="G124" s="45" t="n">
        <v>-520</v>
      </c>
      <c r="H124" s="43" t="n">
        <v>77</v>
      </c>
      <c r="I124" s="46">
        <f>IF(H124=0,DATE(2026,10,29),IF(H124=1,DATE(2026,10,30),DATE(2026,11,2)+7*INT((H124-2)/3)+CHOOSE(MOD(H124-2,3)+1,0,2,4)))</f>
        <v/>
      </c>
    </row>
    <row r="125" ht="23.85" customHeight="1" s="24">
      <c r="A125" s="43" t="n">
        <v>124</v>
      </c>
      <c r="B125" s="44" t="inlineStr">
        <is>
          <t>Roma régia e a Itália arcaica (753–510 a.C.)</t>
        </is>
      </c>
      <c r="C125" s="45" t="inlineStr">
        <is>
          <t>c. 520 a.C.</t>
        </is>
      </c>
      <c r="D125" s="44" t="inlineStr">
        <is>
          <t>Gabii: a cidade tomada por astúcia</t>
        </is>
      </c>
      <c r="E125" s="44" t="inlineStr">
        <is>
          <t>Parco Archeologico di Gabii</t>
        </is>
      </c>
      <c r="F125" s="45" t="inlineStr">
        <is>
          <t>Pendente</t>
        </is>
      </c>
      <c r="G125" s="45" t="n">
        <v>-520</v>
      </c>
      <c r="H125" s="43" t="n">
        <v>78</v>
      </c>
      <c r="I125" s="46">
        <f>IF(H125=0,DATE(2026,10,29),IF(H125=1,DATE(2026,10,30),DATE(2026,11,2)+7*INT((H125-2)/3)+CHOOSE(MOD(H125-2,3)+1,0,2,4)))</f>
        <v/>
      </c>
    </row>
    <row r="126" ht="23.85" customHeight="1" s="24">
      <c r="A126" s="43" t="n">
        <v>125</v>
      </c>
      <c r="B126" s="44" t="inlineStr">
        <is>
          <t>Roma régia e a Itália arcaica (753–510 a.C.)</t>
        </is>
      </c>
      <c r="C126" s="45" t="inlineStr">
        <is>
          <t>c. 510 a.C.</t>
        </is>
      </c>
      <c r="D126" s="44" t="inlineStr">
        <is>
          <t>A destruição de Sibari</t>
        </is>
      </c>
      <c r="E126" s="44" t="inlineStr">
        <is>
          <t>Sibari</t>
        </is>
      </c>
      <c r="F126" s="45" t="inlineStr">
        <is>
          <t>Pendente</t>
        </is>
      </c>
      <c r="G126" s="45" t="n">
        <v>-510</v>
      </c>
      <c r="H126" s="43" t="n">
        <v>79</v>
      </c>
      <c r="I126" s="46">
        <f>IF(H126=0,DATE(2026,10,29),IF(H126=1,DATE(2026,10,30),DATE(2026,11,2)+7*INT((H126-2)/3)+CHOOSE(MOD(H126-2,3)+1,0,2,4)))</f>
        <v/>
      </c>
    </row>
    <row r="127" ht="23.85" customHeight="1" s="24">
      <c r="A127" s="43" t="n">
        <v>126</v>
      </c>
      <c r="B127" s="44" t="inlineStr">
        <is>
          <t>Roma régia e a Itália arcaica (753–510 a.C.)</t>
        </is>
      </c>
      <c r="C127" s="45" t="inlineStr">
        <is>
          <t>c. 500 a.C.</t>
        </is>
      </c>
      <c r="D127" s="44" t="inlineStr">
        <is>
          <t>Marzabotto: a cidade etrusca planejada</t>
        </is>
      </c>
      <c r="E127" s="44" t="inlineStr">
        <is>
          <t>Marzabotto</t>
        </is>
      </c>
      <c r="F127" s="45" t="inlineStr">
        <is>
          <t>Pendente</t>
        </is>
      </c>
      <c r="G127" s="45" t="n">
        <v>-500</v>
      </c>
      <c r="H127" s="43" t="n">
        <v>80</v>
      </c>
      <c r="I127" s="46">
        <f>IF(H127=0,DATE(2026,10,29),IF(H127=1,DATE(2026,10,30),DATE(2026,11,2)+7*INT((H127-2)/3)+CHOOSE(MOD(H127-2,3)+1,0,2,4)))</f>
        <v/>
      </c>
    </row>
    <row r="128" ht="23.85" customHeight="1" s="24">
      <c r="A128" s="43" t="n">
        <v>127</v>
      </c>
      <c r="B128" s="44" t="inlineStr">
        <is>
          <t>Roma régia e a Itália arcaica (753–510 a.C.)</t>
        </is>
      </c>
      <c r="C128" s="45" t="inlineStr">
        <is>
          <t>c. 500 a.C.</t>
        </is>
      </c>
      <c r="D128" s="44" t="inlineStr">
        <is>
          <t>Felsina e Spina: os etruscos no Pó</t>
        </is>
      </c>
      <c r="E128" s="44" t="inlineStr">
        <is>
          <t>Museu Civico Archeologico, Bolonha</t>
        </is>
      </c>
      <c r="F128" s="45" t="inlineStr">
        <is>
          <t>Pendente</t>
        </is>
      </c>
      <c r="G128" s="45" t="n">
        <v>-500</v>
      </c>
      <c r="H128" s="43" t="n">
        <v>81</v>
      </c>
      <c r="I128" s="46">
        <f>IF(H128=0,DATE(2026,10,29),IF(H128=1,DATE(2026,10,30),DATE(2026,11,2)+7*INT((H128-2)/3)+CHOOSE(MOD(H128-2,3)+1,0,2,4)))</f>
        <v/>
      </c>
    </row>
    <row r="129" ht="23.85" customHeight="1" s="24">
      <c r="A129" s="43" t="n">
        <v>128</v>
      </c>
      <c r="B129" s="44" t="inlineStr">
        <is>
          <t>Roma régia e a Itália arcaica (753–510 a.C.)</t>
        </is>
      </c>
      <c r="C129" s="45" t="inlineStr">
        <is>
          <t>c. 500 a.C.</t>
        </is>
      </c>
      <c r="D129" s="44" t="inlineStr">
        <is>
          <t>Capua etrusca</t>
        </is>
      </c>
      <c r="E129" s="44" t="inlineStr">
        <is>
          <t>Santa Maria Capua Vetere</t>
        </is>
      </c>
      <c r="F129" s="45" t="inlineStr">
        <is>
          <t>Pendente</t>
        </is>
      </c>
      <c r="G129" s="45" t="n">
        <v>-500</v>
      </c>
      <c r="H129" s="43" t="n">
        <v>82</v>
      </c>
      <c r="I129" s="46">
        <f>IF(H129=0,DATE(2026,10,29),IF(H129=1,DATE(2026,10,30),DATE(2026,11,2)+7*INT((H129-2)/3)+CHOOSE(MOD(H129-2,3)+1,0,2,4)))</f>
        <v/>
      </c>
    </row>
    <row r="130" ht="15" customHeight="1" s="24">
      <c r="A130" s="43" t="n">
        <v>129</v>
      </c>
      <c r="B130" s="44" t="inlineStr">
        <is>
          <t>República romana (509–28 a.C.)</t>
        </is>
      </c>
      <c r="C130" s="45" t="inlineStr">
        <is>
          <t>509 a.C.</t>
        </is>
      </c>
      <c r="D130" s="44" t="inlineStr">
        <is>
          <t>A queda da monarquia e o nascimento da República</t>
        </is>
      </c>
      <c r="E130" s="44" t="inlineStr">
        <is>
          <t>Museus Capitolinos, Roma</t>
        </is>
      </c>
      <c r="F130" s="45" t="inlineStr">
        <is>
          <t>Rascunho pronto</t>
        </is>
      </c>
      <c r="G130" s="45" t="n">
        <v>-509</v>
      </c>
      <c r="H130" s="43" t="n">
        <v>83</v>
      </c>
      <c r="I130" s="46">
        <f>IF(H130=0,DATE(2026,10,29),IF(H130=1,DATE(2026,10,30),DATE(2026,11,2)+7*INT((H130-2)/3)+CHOOSE(MOD(H130-2,3)+1,0,2,4)))</f>
        <v/>
      </c>
    </row>
    <row r="131" ht="15" customHeight="1" s="24">
      <c r="A131" s="43" t="n">
        <v>130</v>
      </c>
      <c r="B131" s="44" t="inlineStr">
        <is>
          <t>República romana (509–28 a.C.)</t>
        </is>
      </c>
      <c r="C131" s="45" t="inlineStr">
        <is>
          <t>509 a.C.</t>
        </is>
      </c>
      <c r="D131" s="44" t="inlineStr">
        <is>
          <t>Os primeiros cônsules: Bruto e Colatino</t>
        </is>
      </c>
      <c r="E131" s="44" t="inlineStr">
        <is>
          <t>Fórum Romano, Roma</t>
        </is>
      </c>
      <c r="F131" s="45" t="inlineStr">
        <is>
          <t>Pendente</t>
        </is>
      </c>
      <c r="G131" s="45" t="n">
        <v>-509</v>
      </c>
      <c r="H131" s="43" t="n">
        <v>84</v>
      </c>
      <c r="I131" s="46">
        <f>IF(H131=0,DATE(2026,10,29),IF(H131=1,DATE(2026,10,30),DATE(2026,11,2)+7*INT((H131-2)/3)+CHOOSE(MOD(H131-2,3)+1,0,2,4)))</f>
        <v/>
      </c>
    </row>
    <row r="132" ht="15" customHeight="1" s="24">
      <c r="A132" s="43" t="n">
        <v>131</v>
      </c>
      <c r="B132" s="44" t="inlineStr">
        <is>
          <t>República romana (509–28 a.C.)</t>
        </is>
      </c>
      <c r="C132" s="45" t="inlineStr">
        <is>
          <t>509 a.C.</t>
        </is>
      </c>
      <c r="D132" s="44" t="inlineStr">
        <is>
          <t>O primeiro tratado entre Roma e Cartago</t>
        </is>
      </c>
      <c r="E132" s="44" t="inlineStr">
        <is>
          <t>Fórum Romano, Roma</t>
        </is>
      </c>
      <c r="F132" s="45" t="inlineStr">
        <is>
          <t>Pendente</t>
        </is>
      </c>
      <c r="G132" s="45" t="n">
        <v>-509</v>
      </c>
      <c r="H132" s="43" t="n">
        <v>85</v>
      </c>
      <c r="I132" s="46">
        <f>IF(H132=0,DATE(2026,10,29),IF(H132=1,DATE(2026,10,30),DATE(2026,11,2)+7*INT((H132-2)/3)+CHOOSE(MOD(H132-2,3)+1,0,2,4)))</f>
        <v/>
      </c>
    </row>
    <row r="133" ht="15" customHeight="1" s="24">
      <c r="A133" s="43" t="n">
        <v>132</v>
      </c>
      <c r="B133" s="44" t="inlineStr">
        <is>
          <t>República romana (509–28 a.C.)</t>
        </is>
      </c>
      <c r="C133" s="45" t="inlineStr">
        <is>
          <t>509 a.C.</t>
        </is>
      </c>
      <c r="D133" s="44" t="inlineStr">
        <is>
          <t>O Templo de Júpiter Capitolino é consagrado</t>
        </is>
      </c>
      <c r="E133" s="44" t="inlineStr">
        <is>
          <t>Museus Capitolinos, Roma</t>
        </is>
      </c>
      <c r="F133" s="45" t="inlineStr">
        <is>
          <t>Pendente</t>
        </is>
      </c>
      <c r="G133" s="45" t="n">
        <v>-509</v>
      </c>
      <c r="H133" s="43" t="n">
        <v>86</v>
      </c>
      <c r="I133" s="46">
        <f>IF(H133=0,DATE(2026,10,29),IF(H133=1,DATE(2026,10,30),DATE(2026,11,2)+7*INT((H133-2)/3)+CHOOSE(MOD(H133-2,3)+1,0,2,4)))</f>
        <v/>
      </c>
    </row>
    <row r="134" ht="15" customHeight="1" s="24">
      <c r="A134" s="43" t="n">
        <v>133</v>
      </c>
      <c r="B134" s="44" t="inlineStr">
        <is>
          <t>República romana (509–28 a.C.)</t>
        </is>
      </c>
      <c r="C134" s="45" t="inlineStr">
        <is>
          <t>508 a.C.</t>
        </is>
      </c>
      <c r="D134" s="44" t="inlineStr">
        <is>
          <t>Porsena e Horácio Cocles na ponte</t>
        </is>
      </c>
      <c r="E134" s="44" t="inlineStr">
        <is>
          <t>Ponte Sublício, Roma</t>
        </is>
      </c>
      <c r="F134" s="45" t="inlineStr">
        <is>
          <t>Pendente</t>
        </is>
      </c>
      <c r="G134" s="45" t="n">
        <v>-508</v>
      </c>
      <c r="H134" s="43" t="n">
        <v>87</v>
      </c>
      <c r="I134" s="46">
        <f>IF(H134=0,DATE(2026,10,29),IF(H134=1,DATE(2026,10,30),DATE(2026,11,2)+7*INT((H134-2)/3)+CHOOSE(MOD(H134-2,3)+1,0,2,4)))</f>
        <v/>
      </c>
    </row>
    <row r="135" ht="15" customHeight="1" s="24">
      <c r="A135" s="43" t="n">
        <v>134</v>
      </c>
      <c r="B135" s="44" t="inlineStr">
        <is>
          <t>República romana (509–28 a.C.)</t>
        </is>
      </c>
      <c r="C135" s="45" t="inlineStr">
        <is>
          <t>508 a.C.</t>
        </is>
      </c>
      <c r="D135" s="44" t="inlineStr">
        <is>
          <t>Múcio Cévola e a mão no fogo</t>
        </is>
      </c>
      <c r="E135" s="44" t="inlineStr">
        <is>
          <t>Fórum Romano, Roma</t>
        </is>
      </c>
      <c r="F135" s="45" t="inlineStr">
        <is>
          <t>Pendente</t>
        </is>
      </c>
      <c r="G135" s="45" t="n">
        <v>-508</v>
      </c>
      <c r="H135" s="43" t="n">
        <v>88</v>
      </c>
      <c r="I135" s="46">
        <f>IF(H135=0,DATE(2026,10,29),IF(H135=1,DATE(2026,10,30),DATE(2026,11,2)+7*INT((H135-2)/3)+CHOOSE(MOD(H135-2,3)+1,0,2,4)))</f>
        <v/>
      </c>
    </row>
    <row r="136" ht="15" customHeight="1" s="24">
      <c r="A136" s="43" t="n">
        <v>135</v>
      </c>
      <c r="B136" s="44" t="inlineStr">
        <is>
          <t>República romana (509–28 a.C.)</t>
        </is>
      </c>
      <c r="C136" s="45" t="inlineStr">
        <is>
          <t>507 a.C.</t>
        </is>
      </c>
      <c r="D136" s="44" t="inlineStr">
        <is>
          <t>Publícola e as leis dos primeiros anos</t>
        </is>
      </c>
      <c r="E136" s="44" t="inlineStr">
        <is>
          <t>Fórum Romano, Roma</t>
        </is>
      </c>
      <c r="F136" s="45" t="inlineStr">
        <is>
          <t>Pendente</t>
        </is>
      </c>
      <c r="G136" s="45" t="n">
        <v>-507</v>
      </c>
      <c r="H136" s="43" t="n">
        <v>89</v>
      </c>
      <c r="I136" s="46">
        <f>IF(H136=0,DATE(2026,10,29),IF(H136=1,DATE(2026,10,30),DATE(2026,11,2)+7*INT((H136-2)/3)+CHOOSE(MOD(H136-2,3)+1,0,2,4)))</f>
        <v/>
      </c>
    </row>
    <row r="137" ht="15" customHeight="1" s="24">
      <c r="A137" s="43" t="n">
        <v>136</v>
      </c>
      <c r="B137" s="44" t="inlineStr">
        <is>
          <t>República romana (509–28 a.C.)</t>
        </is>
      </c>
      <c r="C137" s="45" t="inlineStr">
        <is>
          <t>504 a.C.</t>
        </is>
      </c>
      <c r="D137" s="44" t="inlineStr">
        <is>
          <t>Os sabinos Clauso e a gens Cláudia</t>
        </is>
      </c>
      <c r="E137" s="44" t="inlineStr">
        <is>
          <t>Rieti</t>
        </is>
      </c>
      <c r="F137" s="45" t="inlineStr">
        <is>
          <t>Pendente</t>
        </is>
      </c>
      <c r="G137" s="45" t="n">
        <v>-504</v>
      </c>
      <c r="H137" s="43" t="n">
        <v>90</v>
      </c>
      <c r="I137" s="46">
        <f>IF(H137=0,DATE(2026,10,29),IF(H137=1,DATE(2026,10,30),DATE(2026,11,2)+7*INT((H137-2)/3)+CHOOSE(MOD(H137-2,3)+1,0,2,4)))</f>
        <v/>
      </c>
    </row>
    <row r="138" ht="15" customHeight="1" s="24">
      <c r="A138" s="43" t="n">
        <v>137</v>
      </c>
      <c r="B138" s="44" t="inlineStr">
        <is>
          <t>República romana (509–28 a.C.)</t>
        </is>
      </c>
      <c r="C138" s="45" t="inlineStr">
        <is>
          <t>501 a.C.</t>
        </is>
      </c>
      <c r="D138" s="44" t="inlineStr">
        <is>
          <t>A primeira ditadura</t>
        </is>
      </c>
      <c r="E138" s="44" t="inlineStr">
        <is>
          <t>Fórum Romano, Roma</t>
        </is>
      </c>
      <c r="F138" s="45" t="inlineStr">
        <is>
          <t>Pendente</t>
        </is>
      </c>
      <c r="G138" s="45" t="n">
        <v>-501</v>
      </c>
      <c r="H138" s="43" t="n">
        <v>91</v>
      </c>
      <c r="I138" s="46">
        <f>IF(H138=0,DATE(2026,10,29),IF(H138=1,DATE(2026,10,30),DATE(2026,11,2)+7*INT((H138-2)/3)+CHOOSE(MOD(H138-2,3)+1,0,2,4)))</f>
        <v/>
      </c>
    </row>
    <row r="139" ht="15" customHeight="1" s="24">
      <c r="A139" s="43" t="n">
        <v>138</v>
      </c>
      <c r="B139" s="44" t="inlineStr">
        <is>
          <t>República romana (509–28 a.C.)</t>
        </is>
      </c>
      <c r="C139" s="45" t="inlineStr">
        <is>
          <t>499 a.C.</t>
        </is>
      </c>
      <c r="D139" s="44" t="inlineStr">
        <is>
          <t>A batalha do Lago Regilo</t>
        </is>
      </c>
      <c r="E139" s="44" t="inlineStr">
        <is>
          <t>Lago Regilo, Frascati</t>
        </is>
      </c>
      <c r="F139" s="45" t="inlineStr">
        <is>
          <t>Pendente</t>
        </is>
      </c>
      <c r="G139" s="45" t="n">
        <v>-499</v>
      </c>
      <c r="H139" s="43" t="n">
        <v>92</v>
      </c>
      <c r="I139" s="46">
        <f>IF(H139=0,DATE(2026,10,29),IF(H139=1,DATE(2026,10,30),DATE(2026,11,2)+7*INT((H139-2)/3)+CHOOSE(MOD(H139-2,3)+1,0,2,4)))</f>
        <v/>
      </c>
    </row>
    <row r="140" ht="15" customHeight="1" s="24">
      <c r="A140" s="43" t="n">
        <v>139</v>
      </c>
      <c r="B140" s="44" t="inlineStr">
        <is>
          <t>República romana (509–28 a.C.)</t>
        </is>
      </c>
      <c r="C140" s="45" t="inlineStr">
        <is>
          <t>496 a.C.</t>
        </is>
      </c>
      <c r="D140" s="44" t="inlineStr">
        <is>
          <t>O templo de Saturno e o tesouro de Roma</t>
        </is>
      </c>
      <c r="E140" s="44" t="inlineStr">
        <is>
          <t>Fórum Romano, Roma</t>
        </is>
      </c>
      <c r="F140" s="45" t="inlineStr">
        <is>
          <t>Pendente</t>
        </is>
      </c>
      <c r="G140" s="45" t="n">
        <v>-496</v>
      </c>
      <c r="H140" s="43" t="n">
        <v>93</v>
      </c>
      <c r="I140" s="46">
        <f>IF(H140=0,DATE(2026,10,29),IF(H140=1,DATE(2026,10,30),DATE(2026,11,2)+7*INT((H140-2)/3)+CHOOSE(MOD(H140-2,3)+1,0,2,4)))</f>
        <v/>
      </c>
    </row>
    <row r="141" ht="15" customHeight="1" s="24">
      <c r="A141" s="43" t="n">
        <v>140</v>
      </c>
      <c r="B141" s="44" t="inlineStr">
        <is>
          <t>República romana (509–28 a.C.)</t>
        </is>
      </c>
      <c r="C141" s="45" t="inlineStr">
        <is>
          <t>495 a.C.</t>
        </is>
      </c>
      <c r="D141" s="44" t="inlineStr">
        <is>
          <t>O templo de Mercúrio no Circo Máximo</t>
        </is>
      </c>
      <c r="E141" s="44" t="inlineStr">
        <is>
          <t>Circo Máximo, Roma</t>
        </is>
      </c>
      <c r="F141" s="45" t="inlineStr">
        <is>
          <t>Pendente</t>
        </is>
      </c>
      <c r="G141" s="45" t="n">
        <v>-495</v>
      </c>
      <c r="H141" s="43" t="n">
        <v>94</v>
      </c>
      <c r="I141" s="46">
        <f>IF(H141=0,DATE(2026,10,29),IF(H141=1,DATE(2026,10,30),DATE(2026,11,2)+7*INT((H141-2)/3)+CHOOSE(MOD(H141-2,3)+1,0,2,4)))</f>
        <v/>
      </c>
    </row>
    <row r="142" ht="15" customHeight="1" s="24">
      <c r="A142" s="43" t="n">
        <v>141</v>
      </c>
      <c r="B142" s="44" t="inlineStr">
        <is>
          <t>República romana (509–28 a.C.)</t>
        </is>
      </c>
      <c r="C142" s="45" t="inlineStr">
        <is>
          <t>494 a.C.</t>
        </is>
      </c>
      <c r="D142" s="44" t="inlineStr">
        <is>
          <t>A primeira secessão da plebe</t>
        </is>
      </c>
      <c r="E142" s="44" t="inlineStr">
        <is>
          <t>Monte Sacro, Roma</t>
        </is>
      </c>
      <c r="F142" s="45" t="inlineStr">
        <is>
          <t>Pendente</t>
        </is>
      </c>
      <c r="G142" s="45" t="n">
        <v>-494</v>
      </c>
      <c r="H142" s="43" t="n">
        <v>95</v>
      </c>
      <c r="I142" s="46">
        <f>IF(H142=0,DATE(2026,10,29),IF(H142=1,DATE(2026,10,30),DATE(2026,11,2)+7*INT((H142-2)/3)+CHOOSE(MOD(H142-2,3)+1,0,2,4)))</f>
        <v/>
      </c>
    </row>
    <row r="143" ht="15" customHeight="1" s="24">
      <c r="A143" s="43" t="n">
        <v>142</v>
      </c>
      <c r="B143" s="44" t="inlineStr">
        <is>
          <t>República romana (509–28 a.C.)</t>
        </is>
      </c>
      <c r="C143" s="45" t="inlineStr">
        <is>
          <t>494 a.C.</t>
        </is>
      </c>
      <c r="D143" s="44" t="inlineStr">
        <is>
          <t>Menênio Agripa e a fábula do corpo</t>
        </is>
      </c>
      <c r="E143" s="44" t="inlineStr">
        <is>
          <t>Fórum Romano, Roma</t>
        </is>
      </c>
      <c r="F143" s="45" t="inlineStr">
        <is>
          <t>Pendente</t>
        </is>
      </c>
      <c r="G143" s="45" t="n">
        <v>-494</v>
      </c>
      <c r="H143" s="43" t="n">
        <v>96</v>
      </c>
      <c r="I143" s="46">
        <f>IF(H143=0,DATE(2026,10,29),IF(H143=1,DATE(2026,10,30),DATE(2026,11,2)+7*INT((H143-2)/3)+CHOOSE(MOD(H143-2,3)+1,0,2,4)))</f>
        <v/>
      </c>
    </row>
    <row r="144" ht="15" customHeight="1" s="24">
      <c r="A144" s="43" t="n">
        <v>143</v>
      </c>
      <c r="B144" s="44" t="inlineStr">
        <is>
          <t>República romana (509–28 a.C.)</t>
        </is>
      </c>
      <c r="C144" s="45" t="inlineStr">
        <is>
          <t>493 a.C.</t>
        </is>
      </c>
      <c r="D144" s="44" t="inlineStr">
        <is>
          <t>Os tribunos da plebe</t>
        </is>
      </c>
      <c r="E144" s="44" t="inlineStr">
        <is>
          <t>Fórum Romano, Roma</t>
        </is>
      </c>
      <c r="F144" s="45" t="inlineStr">
        <is>
          <t>Pendente</t>
        </is>
      </c>
      <c r="G144" s="45" t="n">
        <v>-493</v>
      </c>
      <c r="H144" s="43" t="n">
        <v>97</v>
      </c>
      <c r="I144" s="46">
        <f>IF(H144=0,DATE(2026,10,29),IF(H144=1,DATE(2026,10,30),DATE(2026,11,2)+7*INT((H144-2)/3)+CHOOSE(MOD(H144-2,3)+1,0,2,4)))</f>
        <v/>
      </c>
    </row>
    <row r="145" ht="15" customHeight="1" s="24">
      <c r="A145" s="43" t="n">
        <v>144</v>
      </c>
      <c r="B145" s="44" t="inlineStr">
        <is>
          <t>República romana (509–28 a.C.)</t>
        </is>
      </c>
      <c r="C145" s="45" t="inlineStr">
        <is>
          <t>493 a.C.</t>
        </is>
      </c>
      <c r="D145" s="44" t="inlineStr">
        <is>
          <t>O foedus Cassianum: Roma e os latinos</t>
        </is>
      </c>
      <c r="E145" s="44" t="inlineStr">
        <is>
          <t>Fórum Romano, Roma</t>
        </is>
      </c>
      <c r="F145" s="45" t="inlineStr">
        <is>
          <t>Pendente</t>
        </is>
      </c>
      <c r="G145" s="45" t="n">
        <v>-493</v>
      </c>
      <c r="H145" s="43" t="n">
        <v>98</v>
      </c>
      <c r="I145" s="46">
        <f>IF(H145=0,DATE(2026,10,29),IF(H145=1,DATE(2026,10,30),DATE(2026,11,2)+7*INT((H145-2)/3)+CHOOSE(MOD(H145-2,3)+1,0,2,4)))</f>
        <v/>
      </c>
    </row>
    <row r="146" ht="15" customHeight="1" s="24">
      <c r="A146" s="43" t="n">
        <v>145</v>
      </c>
      <c r="B146" s="44" t="inlineStr">
        <is>
          <t>República romana (509–28 a.C.)</t>
        </is>
      </c>
      <c r="C146" s="45" t="inlineStr">
        <is>
          <t>491 a.C.</t>
        </is>
      </c>
      <c r="D146" s="44" t="inlineStr">
        <is>
          <t>Coriolano: o herói que traiu Roma</t>
        </is>
      </c>
      <c r="E146" s="44" t="inlineStr">
        <is>
          <t>Fórum Romano, Roma</t>
        </is>
      </c>
      <c r="F146" s="45" t="inlineStr">
        <is>
          <t>Pendente</t>
        </is>
      </c>
      <c r="G146" s="45" t="n">
        <v>-491</v>
      </c>
      <c r="H146" s="43" t="n">
        <v>99</v>
      </c>
      <c r="I146" s="46">
        <f>IF(H146=0,DATE(2026,10,29),IF(H146=1,DATE(2026,10,30),DATE(2026,11,2)+7*INT((H146-2)/3)+CHOOSE(MOD(H146-2,3)+1,0,2,4)))</f>
        <v/>
      </c>
    </row>
    <row r="147" ht="15" customHeight="1" s="24">
      <c r="A147" s="43" t="n">
        <v>146</v>
      </c>
      <c r="B147" s="44" t="inlineStr">
        <is>
          <t>República romana (509–28 a.C.)</t>
        </is>
      </c>
      <c r="C147" s="45" t="inlineStr">
        <is>
          <t>486 a.C.</t>
        </is>
      </c>
      <c r="D147" s="44" t="inlineStr">
        <is>
          <t>Espúrio Cássio e a lei agrária</t>
        </is>
      </c>
      <c r="E147" s="44" t="inlineStr">
        <is>
          <t>Fórum Romano, Roma</t>
        </is>
      </c>
      <c r="F147" s="45" t="inlineStr">
        <is>
          <t>Pendente</t>
        </is>
      </c>
      <c r="G147" s="45" t="n">
        <v>-486</v>
      </c>
      <c r="H147" s="43" t="n">
        <v>100</v>
      </c>
      <c r="I147" s="46">
        <f>IF(H147=0,DATE(2026,10,29),IF(H147=1,DATE(2026,10,30),DATE(2026,11,2)+7*INT((H147-2)/3)+CHOOSE(MOD(H147-2,3)+1,0,2,4)))</f>
        <v/>
      </c>
    </row>
    <row r="148" ht="15" customHeight="1" s="24">
      <c r="A148" s="43" t="n">
        <v>147</v>
      </c>
      <c r="B148" s="44" t="inlineStr">
        <is>
          <t>República romana (509–28 a.C.)</t>
        </is>
      </c>
      <c r="C148" s="45" t="inlineStr">
        <is>
          <t>480 a.C.</t>
        </is>
      </c>
      <c r="D148" s="44" t="inlineStr">
        <is>
          <t>O Templo de Castor e Pólux</t>
        </is>
      </c>
      <c r="E148" s="44" t="inlineStr">
        <is>
          <t>Fórum Romano, Roma</t>
        </is>
      </c>
      <c r="F148" s="45" t="inlineStr">
        <is>
          <t>Pendente</t>
        </is>
      </c>
      <c r="G148" s="45" t="n">
        <v>-480</v>
      </c>
      <c r="H148" s="43" t="n">
        <v>101</v>
      </c>
      <c r="I148" s="46">
        <f>IF(H148=0,DATE(2026,10,29),IF(H148=1,DATE(2026,10,30),DATE(2026,11,2)+7*INT((H148-2)/3)+CHOOSE(MOD(H148-2,3)+1,0,2,4)))</f>
        <v/>
      </c>
    </row>
    <row r="149" ht="15" customHeight="1" s="24">
      <c r="A149" s="43" t="n">
        <v>148</v>
      </c>
      <c r="B149" s="44" t="inlineStr">
        <is>
          <t>República romana (509–28 a.C.)</t>
        </is>
      </c>
      <c r="C149" s="45" t="inlineStr">
        <is>
          <t>477 a.C.</t>
        </is>
      </c>
      <c r="D149" s="44" t="inlineStr">
        <is>
          <t>A gens Fábia e a batalha do Crémera</t>
        </is>
      </c>
      <c r="E149" s="44" t="inlineStr">
        <is>
          <t>Via Cassia, Roma</t>
        </is>
      </c>
      <c r="F149" s="45" t="inlineStr">
        <is>
          <t>Pendente</t>
        </is>
      </c>
      <c r="G149" s="45" t="n">
        <v>-477</v>
      </c>
      <c r="H149" s="43" t="n">
        <v>102</v>
      </c>
      <c r="I149" s="46">
        <f>IF(H149=0,DATE(2026,10,29),IF(H149=1,DATE(2026,10,30),DATE(2026,11,2)+7*INT((H149-2)/3)+CHOOSE(MOD(H149-2,3)+1,0,2,4)))</f>
        <v/>
      </c>
    </row>
    <row r="150" ht="15" customHeight="1" s="24">
      <c r="A150" s="43" t="n">
        <v>149</v>
      </c>
      <c r="B150" s="44" t="inlineStr">
        <is>
          <t>República romana (509–28 a.C.)</t>
        </is>
      </c>
      <c r="C150" s="45" t="inlineStr">
        <is>
          <t>474 a.C.</t>
        </is>
      </c>
      <c r="D150" s="44" t="inlineStr">
        <is>
          <t>A batalha de Cumas: o fim da expansão etrusca</t>
        </is>
      </c>
      <c r="E150" s="44" t="inlineStr">
        <is>
          <t>Cuma</t>
        </is>
      </c>
      <c r="F150" s="45" t="inlineStr">
        <is>
          <t>Pendente</t>
        </is>
      </c>
      <c r="G150" s="45" t="n">
        <v>-474</v>
      </c>
      <c r="H150" s="43" t="n">
        <v>103</v>
      </c>
      <c r="I150" s="46">
        <f>IF(H150=0,DATE(2026,10,29),IF(H150=1,DATE(2026,10,30),DATE(2026,11,2)+7*INT((H150-2)/3)+CHOOSE(MOD(H150-2,3)+1,0,2,4)))</f>
        <v/>
      </c>
    </row>
    <row r="151" ht="15" customHeight="1" s="24">
      <c r="A151" s="43" t="n">
        <v>150</v>
      </c>
      <c r="B151" s="44" t="inlineStr">
        <is>
          <t>República romana (509–28 a.C.)</t>
        </is>
      </c>
      <c r="C151" s="45" t="inlineStr">
        <is>
          <t>465 a.C.</t>
        </is>
      </c>
      <c r="D151" s="44" t="inlineStr">
        <is>
          <t>Cincinato: o ditador que voltou ao arado</t>
        </is>
      </c>
      <c r="E151" s="44" t="inlineStr">
        <is>
          <t>Fórum Romano, Roma</t>
        </is>
      </c>
      <c r="F151" s="45" t="inlineStr">
        <is>
          <t>Pendente</t>
        </is>
      </c>
      <c r="G151" s="45" t="n">
        <v>-465</v>
      </c>
      <c r="H151" s="43" t="n">
        <v>104</v>
      </c>
      <c r="I151" s="46">
        <f>IF(H151=0,DATE(2026,10,29),IF(H151=1,DATE(2026,10,30),DATE(2026,11,2)+7*INT((H151-2)/3)+CHOOSE(MOD(H151-2,3)+1,0,2,4)))</f>
        <v/>
      </c>
    </row>
    <row r="152" ht="15" customHeight="1" s="24">
      <c r="A152" s="43" t="n">
        <v>151</v>
      </c>
      <c r="B152" s="44" t="inlineStr">
        <is>
          <t>República romana (509–28 a.C.)</t>
        </is>
      </c>
      <c r="C152" s="45" t="inlineStr">
        <is>
          <t>458 a.C.</t>
        </is>
      </c>
      <c r="D152" s="44" t="inlineStr">
        <is>
          <t>Cincinato salva o exército</t>
        </is>
      </c>
      <c r="E152" s="44" t="inlineStr">
        <is>
          <t>Monte Algido</t>
        </is>
      </c>
      <c r="F152" s="45" t="inlineStr">
        <is>
          <t>Pendente</t>
        </is>
      </c>
      <c r="G152" s="45" t="n">
        <v>-458</v>
      </c>
      <c r="H152" s="43" t="n">
        <v>105</v>
      </c>
      <c r="I152" s="46">
        <f>IF(H152=0,DATE(2026,10,29),IF(H152=1,DATE(2026,10,30),DATE(2026,11,2)+7*INT((H152-2)/3)+CHOOSE(MOD(H152-2,3)+1,0,2,4)))</f>
        <v/>
      </c>
    </row>
    <row r="153" ht="15" customHeight="1" s="24">
      <c r="A153" s="43" t="n">
        <v>152</v>
      </c>
      <c r="B153" s="44" t="inlineStr">
        <is>
          <t>República romana (509–28 a.C.)</t>
        </is>
      </c>
      <c r="C153" s="45" t="inlineStr">
        <is>
          <t>456 a.C.</t>
        </is>
      </c>
      <c r="D153" s="44" t="inlineStr">
        <is>
          <t>A Lei Aventina e o Aventino plebeu</t>
        </is>
      </c>
      <c r="E153" s="44" t="inlineStr">
        <is>
          <t>Aventino, Roma</t>
        </is>
      </c>
      <c r="F153" s="45" t="inlineStr">
        <is>
          <t>Pendente</t>
        </is>
      </c>
      <c r="G153" s="45" t="n">
        <v>-456</v>
      </c>
      <c r="H153" s="43" t="n">
        <v>106</v>
      </c>
      <c r="I153" s="46">
        <f>IF(H153=0,DATE(2026,10,29),IF(H153=1,DATE(2026,10,30),DATE(2026,11,2)+7*INT((H153-2)/3)+CHOOSE(MOD(H153-2,3)+1,0,2,4)))</f>
        <v/>
      </c>
    </row>
    <row r="154" ht="15" customHeight="1" s="24">
      <c r="A154" s="43" t="n">
        <v>153</v>
      </c>
      <c r="B154" s="44" t="inlineStr">
        <is>
          <t>República romana (509–28 a.C.)</t>
        </is>
      </c>
      <c r="C154" s="45" t="inlineStr">
        <is>
          <t>451 a.C.</t>
        </is>
      </c>
      <c r="D154" s="44" t="inlineStr">
        <is>
          <t>Os decênviros e a Lei das Doze Tábuas</t>
        </is>
      </c>
      <c r="E154" s="44" t="inlineStr">
        <is>
          <t>Fórum Romano, Roma</t>
        </is>
      </c>
      <c r="F154" s="45" t="inlineStr">
        <is>
          <t>Pendente</t>
        </is>
      </c>
      <c r="G154" s="45" t="n">
        <v>-451</v>
      </c>
      <c r="H154" s="43" t="n">
        <v>107</v>
      </c>
      <c r="I154" s="46">
        <f>IF(H154=0,DATE(2026,10,29),IF(H154=1,DATE(2026,10,30),DATE(2026,11,2)+7*INT((H154-2)/3)+CHOOSE(MOD(H154-2,3)+1,0,2,4)))</f>
        <v/>
      </c>
    </row>
    <row r="155" ht="15" customHeight="1" s="24">
      <c r="A155" s="43" t="n">
        <v>154</v>
      </c>
      <c r="B155" s="44" t="inlineStr">
        <is>
          <t>República romana (509–28 a.C.)</t>
        </is>
      </c>
      <c r="C155" s="45" t="inlineStr">
        <is>
          <t>449 a.C.</t>
        </is>
      </c>
      <c r="D155" s="44" t="inlineStr">
        <is>
          <t>A queda dos decênviros: Virgínia</t>
        </is>
      </c>
      <c r="E155" s="44" t="inlineStr">
        <is>
          <t>Fórum Romano, Roma</t>
        </is>
      </c>
      <c r="F155" s="45" t="inlineStr">
        <is>
          <t>Pendente</t>
        </is>
      </c>
      <c r="G155" s="45" t="n">
        <v>-449</v>
      </c>
      <c r="H155" s="43" t="n">
        <v>108</v>
      </c>
      <c r="I155" s="46">
        <f>IF(H155=0,DATE(2026,10,29),IF(H155=1,DATE(2026,10,30),DATE(2026,11,2)+7*INT((H155-2)/3)+CHOOSE(MOD(H155-2,3)+1,0,2,4)))</f>
        <v/>
      </c>
    </row>
    <row r="156" ht="15" customHeight="1" s="24">
      <c r="A156" s="43" t="n">
        <v>155</v>
      </c>
      <c r="B156" s="44" t="inlineStr">
        <is>
          <t>República romana (509–28 a.C.)</t>
        </is>
      </c>
      <c r="C156" s="45" t="inlineStr">
        <is>
          <t>445 a.C.</t>
        </is>
      </c>
      <c r="D156" s="44" t="inlineStr">
        <is>
          <t>A Lei Canuleia: o casamento entre ordens</t>
        </is>
      </c>
      <c r="E156" s="44" t="inlineStr">
        <is>
          <t>Fórum Romano, Roma</t>
        </is>
      </c>
      <c r="F156" s="45" t="inlineStr">
        <is>
          <t>Pendente</t>
        </is>
      </c>
      <c r="G156" s="45" t="n">
        <v>-445</v>
      </c>
      <c r="H156" s="43" t="n">
        <v>109</v>
      </c>
      <c r="I156" s="46">
        <f>IF(H156=0,DATE(2026,10,29),IF(H156=1,DATE(2026,10,30),DATE(2026,11,2)+7*INT((H156-2)/3)+CHOOSE(MOD(H156-2,3)+1,0,2,4)))</f>
        <v/>
      </c>
    </row>
    <row r="157" ht="15" customHeight="1" s="24">
      <c r="A157" s="43" t="n">
        <v>156</v>
      </c>
      <c r="B157" s="44" t="inlineStr">
        <is>
          <t>República romana (509–28 a.C.)</t>
        </is>
      </c>
      <c r="C157" s="45" t="inlineStr">
        <is>
          <t>443 a.C.</t>
        </is>
      </c>
      <c r="D157" s="44" t="inlineStr">
        <is>
          <t>Os censores: a contagem dos romanos</t>
        </is>
      </c>
      <c r="E157" s="44" t="inlineStr">
        <is>
          <t>Fórum Romano, Roma</t>
        </is>
      </c>
      <c r="F157" s="45" t="inlineStr">
        <is>
          <t>Pendente</t>
        </is>
      </c>
      <c r="G157" s="45" t="n">
        <v>-443</v>
      </c>
      <c r="H157" s="43" t="n">
        <v>110</v>
      </c>
      <c r="I157" s="46">
        <f>IF(H157=0,DATE(2026,10,29),IF(H157=1,DATE(2026,10,30),DATE(2026,11,2)+7*INT((H157-2)/3)+CHOOSE(MOD(H157-2,3)+1,0,2,4)))</f>
        <v/>
      </c>
    </row>
    <row r="158" ht="15" customHeight="1" s="24">
      <c r="A158" s="43" t="n">
        <v>157</v>
      </c>
      <c r="B158" s="44" t="inlineStr">
        <is>
          <t>República romana (509–28 a.C.)</t>
        </is>
      </c>
      <c r="C158" s="45" t="inlineStr">
        <is>
          <t>440 a.C.</t>
        </is>
      </c>
      <c r="D158" s="44" t="inlineStr">
        <is>
          <t>A fome e Espúrio Mélio</t>
        </is>
      </c>
      <c r="E158" s="44" t="inlineStr">
        <is>
          <t>Fórum Romano, Roma</t>
        </is>
      </c>
      <c r="F158" s="45" t="inlineStr">
        <is>
          <t>Pendente</t>
        </is>
      </c>
      <c r="G158" s="45" t="n">
        <v>-440</v>
      </c>
      <c r="H158" s="43" t="n">
        <v>111</v>
      </c>
      <c r="I158" s="46">
        <f>IF(H158=0,DATE(2026,10,29),IF(H158=1,DATE(2026,10,30),DATE(2026,11,2)+7*INT((H158-2)/3)+CHOOSE(MOD(H158-2,3)+1,0,2,4)))</f>
        <v/>
      </c>
    </row>
    <row r="159" ht="15" customHeight="1" s="24">
      <c r="A159" s="43" t="n">
        <v>158</v>
      </c>
      <c r="B159" s="44" t="inlineStr">
        <is>
          <t>República romana (509–28 a.C.)</t>
        </is>
      </c>
      <c r="C159" s="45" t="inlineStr">
        <is>
          <t>431 a.C.</t>
        </is>
      </c>
      <c r="D159" s="44" t="inlineStr">
        <is>
          <t>A batalha do Monte Algido</t>
        </is>
      </c>
      <c r="E159" s="44" t="inlineStr">
        <is>
          <t>Monte Algido</t>
        </is>
      </c>
      <c r="F159" s="45" t="inlineStr">
        <is>
          <t>Pendente</t>
        </is>
      </c>
      <c r="G159" s="45" t="n">
        <v>-431</v>
      </c>
      <c r="H159" s="43" t="n">
        <v>112</v>
      </c>
      <c r="I159" s="46">
        <f>IF(H159=0,DATE(2026,10,29),IF(H159=1,DATE(2026,10,30),DATE(2026,11,2)+7*INT((H159-2)/3)+CHOOSE(MOD(H159-2,3)+1,0,2,4)))</f>
        <v/>
      </c>
    </row>
    <row r="160" ht="15" customHeight="1" s="24">
      <c r="A160" s="43" t="n">
        <v>159</v>
      </c>
      <c r="B160" s="44" t="inlineStr">
        <is>
          <t>República romana (509–28 a.C.)</t>
        </is>
      </c>
      <c r="C160" s="45" t="inlineStr">
        <is>
          <t>429 a.C.</t>
        </is>
      </c>
      <c r="D160" s="44" t="inlineStr">
        <is>
          <t>O Templo de Apolo no Campo Márcio</t>
        </is>
      </c>
      <c r="E160" s="44" t="inlineStr">
        <is>
          <t>Teatro de Marcelo, Roma</t>
        </is>
      </c>
      <c r="F160" s="45" t="inlineStr">
        <is>
          <t>Pendente</t>
        </is>
      </c>
      <c r="G160" s="45" t="n">
        <v>-429</v>
      </c>
      <c r="H160" s="43" t="n">
        <v>113</v>
      </c>
      <c r="I160" s="46">
        <f>IF(H160=0,DATE(2026,10,29),IF(H160=1,DATE(2026,10,30),DATE(2026,11,2)+7*INT((H160-2)/3)+CHOOSE(MOD(H160-2,3)+1,0,2,4)))</f>
        <v/>
      </c>
    </row>
    <row r="161" ht="15" customHeight="1" s="24">
      <c r="A161" s="43" t="n">
        <v>160</v>
      </c>
      <c r="B161" s="44" t="inlineStr">
        <is>
          <t>República romana (509–28 a.C.)</t>
        </is>
      </c>
      <c r="C161" s="45" t="inlineStr">
        <is>
          <t>426 a.C.</t>
        </is>
      </c>
      <c r="D161" s="44" t="inlineStr">
        <is>
          <t>Fidenas e a morte de Larte Tolúmnio</t>
        </is>
      </c>
      <c r="E161" s="44" t="inlineStr">
        <is>
          <t>Fidenas, Roma</t>
        </is>
      </c>
      <c r="F161" s="45" t="inlineStr">
        <is>
          <t>Pendente</t>
        </is>
      </c>
      <c r="G161" s="45" t="n">
        <v>-426</v>
      </c>
      <c r="H161" s="43" t="n">
        <v>114</v>
      </c>
      <c r="I161" s="46">
        <f>IF(H161=0,DATE(2026,10,29),IF(H161=1,DATE(2026,10,30),DATE(2026,11,2)+7*INT((H161-2)/3)+CHOOSE(MOD(H161-2,3)+1,0,2,4)))</f>
        <v/>
      </c>
    </row>
    <row r="162" ht="15" customHeight="1" s="24">
      <c r="A162" s="43" t="n">
        <v>161</v>
      </c>
      <c r="B162" s="44" t="inlineStr">
        <is>
          <t>República romana (509–28 a.C.)</t>
        </is>
      </c>
      <c r="C162" s="45" t="inlineStr">
        <is>
          <t>406 a.C.</t>
        </is>
      </c>
      <c r="D162" s="44" t="inlineStr">
        <is>
          <t>O cerco de Veios começa</t>
        </is>
      </c>
      <c r="E162" s="44" t="inlineStr">
        <is>
          <t>Parque de Veio, Roma</t>
        </is>
      </c>
      <c r="F162" s="45" t="inlineStr">
        <is>
          <t>Pendente</t>
        </is>
      </c>
      <c r="G162" s="45" t="n">
        <v>-406</v>
      </c>
      <c r="H162" s="43" t="n">
        <v>115</v>
      </c>
      <c r="I162" s="46">
        <f>IF(H162=0,DATE(2026,10,29),IF(H162=1,DATE(2026,10,30),DATE(2026,11,2)+7*INT((H162-2)/3)+CHOOSE(MOD(H162-2,3)+1,0,2,4)))</f>
        <v/>
      </c>
    </row>
    <row r="163" ht="15" customHeight="1" s="24">
      <c r="A163" s="43" t="n">
        <v>162</v>
      </c>
      <c r="B163" s="44" t="inlineStr">
        <is>
          <t>República romana (509–28 a.C.)</t>
        </is>
      </c>
      <c r="C163" s="45" t="inlineStr">
        <is>
          <t>396 a.C.</t>
        </is>
      </c>
      <c r="D163" s="44" t="inlineStr">
        <is>
          <t>Camilo conquista Veios</t>
        </is>
      </c>
      <c r="E163" s="44" t="inlineStr">
        <is>
          <t>Parque de Veio, Roma</t>
        </is>
      </c>
      <c r="F163" s="45" t="inlineStr">
        <is>
          <t>Pendente</t>
        </is>
      </c>
      <c r="G163" s="45" t="n">
        <v>-396</v>
      </c>
      <c r="H163" s="43" t="n">
        <v>116</v>
      </c>
      <c r="I163" s="46">
        <f>IF(H163=0,DATE(2026,10,29),IF(H163=1,DATE(2026,10,30),DATE(2026,11,2)+7*INT((H163-2)/3)+CHOOSE(MOD(H163-2,3)+1,0,2,4)))</f>
        <v/>
      </c>
    </row>
    <row r="164" ht="15" customHeight="1" s="24">
      <c r="A164" s="43" t="n">
        <v>163</v>
      </c>
      <c r="B164" s="44" t="inlineStr">
        <is>
          <t>República romana (509–28 a.C.)</t>
        </is>
      </c>
      <c r="C164" s="45" t="inlineStr">
        <is>
          <t>390 a.C.</t>
        </is>
      </c>
      <c r="D164" s="44" t="inlineStr">
        <is>
          <t>Os gauleses saqueiam Roma</t>
        </is>
      </c>
      <c r="E164" s="44" t="inlineStr">
        <is>
          <t>Fórum Romano, Roma</t>
        </is>
      </c>
      <c r="F164" s="45" t="inlineStr">
        <is>
          <t>Pendente</t>
        </is>
      </c>
      <c r="G164" s="45" t="n">
        <v>-390</v>
      </c>
      <c r="H164" s="43" t="n">
        <v>117</v>
      </c>
      <c r="I164" s="46">
        <f>IF(H164=0,DATE(2026,10,29),IF(H164=1,DATE(2026,10,30),DATE(2026,11,2)+7*INT((H164-2)/3)+CHOOSE(MOD(H164-2,3)+1,0,2,4)))</f>
        <v/>
      </c>
    </row>
    <row r="165" ht="15" customHeight="1" s="24">
      <c r="A165" s="43" t="n">
        <v>164</v>
      </c>
      <c r="B165" s="44" t="inlineStr">
        <is>
          <t>República romana (509–28 a.C.)</t>
        </is>
      </c>
      <c r="C165" s="45" t="inlineStr">
        <is>
          <t>390 a.C.</t>
        </is>
      </c>
      <c r="D165" s="44" t="inlineStr">
        <is>
          <t>Os gansos do Capitólio</t>
        </is>
      </c>
      <c r="E165" s="44" t="inlineStr">
        <is>
          <t>Capitólio, Roma</t>
        </is>
      </c>
      <c r="F165" s="45" t="inlineStr">
        <is>
          <t>Pendente</t>
        </is>
      </c>
      <c r="G165" s="45" t="n">
        <v>-390</v>
      </c>
      <c r="H165" s="43" t="n">
        <v>118</v>
      </c>
      <c r="I165" s="46">
        <f>IF(H165=0,DATE(2026,10,29),IF(H165=1,DATE(2026,10,30),DATE(2026,11,2)+7*INT((H165-2)/3)+CHOOSE(MOD(H165-2,3)+1,0,2,4)))</f>
        <v/>
      </c>
    </row>
    <row r="166" ht="15" customHeight="1" s="24">
      <c r="A166" s="43" t="n">
        <v>165</v>
      </c>
      <c r="B166" s="44" t="inlineStr">
        <is>
          <t>República romana (509–28 a.C.)</t>
        </is>
      </c>
      <c r="C166" s="45" t="inlineStr">
        <is>
          <t>390 a.C.</t>
        </is>
      </c>
      <c r="D166" s="44" t="inlineStr">
        <is>
          <t>A batalha do Ália</t>
        </is>
      </c>
      <c r="E166" s="44" t="inlineStr">
        <is>
          <t>Rio Ália, Roma</t>
        </is>
      </c>
      <c r="F166" s="45" t="inlineStr">
        <is>
          <t>Pendente</t>
        </is>
      </c>
      <c r="G166" s="45" t="n">
        <v>-390</v>
      </c>
      <c r="H166" s="43" t="n">
        <v>119</v>
      </c>
      <c r="I166" s="46">
        <f>IF(H166=0,DATE(2026,10,29),IF(H166=1,DATE(2026,10,30),DATE(2026,11,2)+7*INT((H166-2)/3)+CHOOSE(MOD(H166-2,3)+1,0,2,4)))</f>
        <v/>
      </c>
    </row>
    <row r="167" ht="15" customHeight="1" s="24">
      <c r="A167" s="43" t="n">
        <v>166</v>
      </c>
      <c r="B167" s="44" t="inlineStr">
        <is>
          <t>República romana (509–28 a.C.)</t>
        </is>
      </c>
      <c r="C167" s="45" t="inlineStr">
        <is>
          <t>378 a.C.</t>
        </is>
      </c>
      <c r="D167" s="44" t="inlineStr">
        <is>
          <t>A Muralha Serviana é reconstruída</t>
        </is>
      </c>
      <c r="E167" s="44" t="inlineStr">
        <is>
          <t>Estação Termini, Roma</t>
        </is>
      </c>
      <c r="F167" s="45" t="inlineStr">
        <is>
          <t>Pendente</t>
        </is>
      </c>
      <c r="G167" s="45" t="n">
        <v>-378</v>
      </c>
      <c r="H167" s="43" t="n">
        <v>120</v>
      </c>
      <c r="I167" s="46">
        <f>IF(H167=0,DATE(2026,10,29),IF(H167=1,DATE(2026,10,30),DATE(2026,11,2)+7*INT((H167-2)/3)+CHOOSE(MOD(H167-2,3)+1,0,2,4)))</f>
        <v/>
      </c>
    </row>
    <row r="168" ht="15" customHeight="1" s="24">
      <c r="A168" s="43" t="n">
        <v>167</v>
      </c>
      <c r="B168" s="44" t="inlineStr">
        <is>
          <t>República romana (509–28 a.C.)</t>
        </is>
      </c>
      <c r="C168" s="45" t="inlineStr">
        <is>
          <t>367 a.C.</t>
        </is>
      </c>
      <c r="D168" s="44" t="inlineStr">
        <is>
          <t>As Leis Licínio-Sextias</t>
        </is>
      </c>
      <c r="E168" s="44" t="inlineStr">
        <is>
          <t>Fórum Romano, Roma</t>
        </is>
      </c>
      <c r="F168" s="45" t="inlineStr">
        <is>
          <t>Pendente</t>
        </is>
      </c>
      <c r="G168" s="45" t="n">
        <v>-367</v>
      </c>
      <c r="H168" s="43" t="n">
        <v>121</v>
      </c>
      <c r="I168" s="46">
        <f>IF(H168=0,DATE(2026,10,29),IF(H168=1,DATE(2026,10,30),DATE(2026,11,2)+7*INT((H168-2)/3)+CHOOSE(MOD(H168-2,3)+1,0,2,4)))</f>
        <v/>
      </c>
    </row>
    <row r="169" ht="15" customHeight="1" s="24">
      <c r="A169" s="43" t="n">
        <v>168</v>
      </c>
      <c r="B169" s="44" t="inlineStr">
        <is>
          <t>República romana (509–28 a.C.)</t>
        </is>
      </c>
      <c r="C169" s="45" t="inlineStr">
        <is>
          <t>366 a.C.</t>
        </is>
      </c>
      <c r="D169" s="44" t="inlineStr">
        <is>
          <t>O primeiro cônsul plebeu</t>
        </is>
      </c>
      <c r="E169" s="44" t="inlineStr">
        <is>
          <t>Fórum Romano, Roma</t>
        </is>
      </c>
      <c r="F169" s="45" t="inlineStr">
        <is>
          <t>Pendente</t>
        </is>
      </c>
      <c r="G169" s="45" t="n">
        <v>-366</v>
      </c>
      <c r="H169" s="43" t="n">
        <v>122</v>
      </c>
      <c r="I169" s="46">
        <f>IF(H169=0,DATE(2026,10,29),IF(H169=1,DATE(2026,10,30),DATE(2026,11,2)+7*INT((H169-2)/3)+CHOOSE(MOD(H169-2,3)+1,0,2,4)))</f>
        <v/>
      </c>
    </row>
    <row r="170" ht="15" customHeight="1" s="24">
      <c r="A170" s="43" t="n">
        <v>169</v>
      </c>
      <c r="B170" s="44" t="inlineStr">
        <is>
          <t>República romana (509–28 a.C.)</t>
        </is>
      </c>
      <c r="C170" s="45" t="inlineStr">
        <is>
          <t>366 a.C.</t>
        </is>
      </c>
      <c r="D170" s="44" t="inlineStr">
        <is>
          <t>O pretor e o edil curul</t>
        </is>
      </c>
      <c r="E170" s="44" t="inlineStr">
        <is>
          <t>Fórum Romano, Roma</t>
        </is>
      </c>
      <c r="F170" s="45" t="inlineStr">
        <is>
          <t>Pendente</t>
        </is>
      </c>
      <c r="G170" s="45" t="n">
        <v>-366</v>
      </c>
      <c r="H170" s="43" t="n">
        <v>123</v>
      </c>
      <c r="I170" s="46">
        <f>IF(H170=0,DATE(2026,10,29),IF(H170=1,DATE(2026,10,30),DATE(2026,11,2)+7*INT((H170-2)/3)+CHOOSE(MOD(H170-2,3)+1,0,2,4)))</f>
        <v/>
      </c>
    </row>
    <row r="171" ht="15" customHeight="1" s="24">
      <c r="A171" s="43" t="n">
        <v>170</v>
      </c>
      <c r="B171" s="44" t="inlineStr">
        <is>
          <t>República romana (509–28 a.C.)</t>
        </is>
      </c>
      <c r="C171" s="45" t="inlineStr">
        <is>
          <t>364 a.C.</t>
        </is>
      </c>
      <c r="D171" s="44" t="inlineStr">
        <is>
          <t>Os jogos cênicos de Roma</t>
        </is>
      </c>
      <c r="E171" s="44" t="inlineStr">
        <is>
          <t>Teatro de Marcelo, Roma</t>
        </is>
      </c>
      <c r="F171" s="45" t="inlineStr">
        <is>
          <t>Pendente</t>
        </is>
      </c>
      <c r="G171" s="45" t="n">
        <v>-364</v>
      </c>
      <c r="H171" s="43" t="n">
        <v>124</v>
      </c>
      <c r="I171" s="46">
        <f>IF(H171=0,DATE(2026,10,29),IF(H171=1,DATE(2026,10,30),DATE(2026,11,2)+7*INT((H171-2)/3)+CHOOSE(MOD(H171-2,3)+1,0,2,4)))</f>
        <v/>
      </c>
    </row>
    <row r="172" ht="15" customHeight="1" s="24">
      <c r="A172" s="43" t="n">
        <v>171</v>
      </c>
      <c r="B172" s="44" t="inlineStr">
        <is>
          <t>República romana (509–28 a.C.)</t>
        </is>
      </c>
      <c r="C172" s="45" t="inlineStr">
        <is>
          <t>362 a.C.</t>
        </is>
      </c>
      <c r="D172" s="44" t="inlineStr">
        <is>
          <t>Marco Cúrcio e o abismo do Fórum</t>
        </is>
      </c>
      <c r="E172" s="44" t="inlineStr">
        <is>
          <t>Lacus Curtius, Fórum Romano, Roma</t>
        </is>
      </c>
      <c r="F172" s="45" t="inlineStr">
        <is>
          <t>Pendente</t>
        </is>
      </c>
      <c r="G172" s="45" t="n">
        <v>-362</v>
      </c>
      <c r="H172" s="43" t="n">
        <v>125</v>
      </c>
      <c r="I172" s="46">
        <f>IF(H172=0,DATE(2026,10,29),IF(H172=1,DATE(2026,10,30),DATE(2026,11,2)+7*INT((H172-2)/3)+CHOOSE(MOD(H172-2,3)+1,0,2,4)))</f>
        <v/>
      </c>
    </row>
    <row r="173" ht="15" customHeight="1" s="24">
      <c r="A173" s="43" t="n">
        <v>172</v>
      </c>
      <c r="B173" s="44" t="inlineStr">
        <is>
          <t>República romana (509–28 a.C.)</t>
        </is>
      </c>
      <c r="C173" s="45" t="inlineStr">
        <is>
          <t>358 a.C.</t>
        </is>
      </c>
      <c r="D173" s="44" t="inlineStr">
        <is>
          <t>A renovação da liga com os latinos</t>
        </is>
      </c>
      <c r="E173" s="44" t="inlineStr">
        <is>
          <t>Fórum Romano, Roma</t>
        </is>
      </c>
      <c r="F173" s="45" t="inlineStr">
        <is>
          <t>Pendente</t>
        </is>
      </c>
      <c r="G173" s="45" t="n">
        <v>-358</v>
      </c>
      <c r="H173" s="43" t="n">
        <v>126</v>
      </c>
      <c r="I173" s="46">
        <f>IF(H173=0,DATE(2026,10,29),IF(H173=1,DATE(2026,10,30),DATE(2026,11,2)+7*INT((H173-2)/3)+CHOOSE(MOD(H173-2,3)+1,0,2,4)))</f>
        <v/>
      </c>
    </row>
    <row r="174" ht="15" customHeight="1" s="24">
      <c r="A174" s="43" t="n">
        <v>173</v>
      </c>
      <c r="B174" s="44" t="inlineStr">
        <is>
          <t>República romana (509–28 a.C.)</t>
        </is>
      </c>
      <c r="C174" s="45" t="inlineStr">
        <is>
          <t>354 a.C.</t>
        </is>
      </c>
      <c r="D174" s="44" t="inlineStr">
        <is>
          <t>A primeira aliança com os samnitas</t>
        </is>
      </c>
      <c r="E174" s="44" t="inlineStr">
        <is>
          <t>Fórum Romano, Roma</t>
        </is>
      </c>
      <c r="F174" s="45" t="inlineStr">
        <is>
          <t>Pendente</t>
        </is>
      </c>
      <c r="G174" s="45" t="n">
        <v>-354</v>
      </c>
      <c r="H174" s="43" t="n">
        <v>127</v>
      </c>
      <c r="I174" s="46">
        <f>IF(H174=0,DATE(2026,10,29),IF(H174=1,DATE(2026,10,30),DATE(2026,11,2)+7*INT((H174-2)/3)+CHOOSE(MOD(H174-2,3)+1,0,2,4)))</f>
        <v/>
      </c>
    </row>
    <row r="175" ht="15" customHeight="1" s="24">
      <c r="A175" s="43" t="n">
        <v>174</v>
      </c>
      <c r="B175" s="44" t="inlineStr">
        <is>
          <t>República romana (509–28 a.C.)</t>
        </is>
      </c>
      <c r="C175" s="45" t="inlineStr">
        <is>
          <t>343 a.C.</t>
        </is>
      </c>
      <c r="D175" s="44" t="inlineStr">
        <is>
          <t>A Primeira Guerra Samnita</t>
        </is>
      </c>
      <c r="E175" s="44" t="inlineStr">
        <is>
          <t>Pietrabbondante</t>
        </is>
      </c>
      <c r="F175" s="45" t="inlineStr">
        <is>
          <t>Pendente</t>
        </is>
      </c>
      <c r="G175" s="45" t="n">
        <v>-343</v>
      </c>
      <c r="H175" s="43" t="n">
        <v>128</v>
      </c>
      <c r="I175" s="46">
        <f>IF(H175=0,DATE(2026,10,29),IF(H175=1,DATE(2026,10,30),DATE(2026,11,2)+7*INT((H175-2)/3)+CHOOSE(MOD(H175-2,3)+1,0,2,4)))</f>
        <v/>
      </c>
    </row>
    <row r="176" ht="15" customHeight="1" s="24">
      <c r="A176" s="43" t="n">
        <v>175</v>
      </c>
      <c r="B176" s="44" t="inlineStr">
        <is>
          <t>República romana (509–28 a.C.)</t>
        </is>
      </c>
      <c r="C176" s="45" t="inlineStr">
        <is>
          <t>340 a.C.</t>
        </is>
      </c>
      <c r="D176" s="44" t="inlineStr">
        <is>
          <t>A Guerra Latina: Roma contra seus aliados</t>
        </is>
      </c>
      <c r="E176" s="44" t="inlineStr">
        <is>
          <t>Lácio</t>
        </is>
      </c>
      <c r="F176" s="45" t="inlineStr">
        <is>
          <t>Pendente</t>
        </is>
      </c>
      <c r="G176" s="45" t="n">
        <v>-340</v>
      </c>
      <c r="H176" s="43" t="n">
        <v>129</v>
      </c>
      <c r="I176" s="46">
        <f>IF(H176=0,DATE(2026,10,29),IF(H176=1,DATE(2026,10,30),DATE(2026,11,2)+7*INT((H176-2)/3)+CHOOSE(MOD(H176-2,3)+1,0,2,4)))</f>
        <v/>
      </c>
    </row>
    <row r="177" ht="15" customHeight="1" s="24">
      <c r="A177" s="43" t="n">
        <v>176</v>
      </c>
      <c r="B177" s="44" t="inlineStr">
        <is>
          <t>República romana (509–28 a.C.)</t>
        </is>
      </c>
      <c r="C177" s="45" t="inlineStr">
        <is>
          <t>340 a.C.</t>
        </is>
      </c>
      <c r="D177" s="44" t="inlineStr">
        <is>
          <t>Tito Mânlio e o duelo fatal</t>
        </is>
      </c>
      <c r="E177" s="44" t="inlineStr">
        <is>
          <t>Lácio</t>
        </is>
      </c>
      <c r="F177" s="45" t="inlineStr">
        <is>
          <t>Pendente</t>
        </is>
      </c>
      <c r="G177" s="45" t="n">
        <v>-340</v>
      </c>
      <c r="H177" s="43" t="n">
        <v>130</v>
      </c>
      <c r="I177" s="46">
        <f>IF(H177=0,DATE(2026,10,29),IF(H177=1,DATE(2026,10,30),DATE(2026,11,2)+7*INT((H177-2)/3)+CHOOSE(MOD(H177-2,3)+1,0,2,4)))</f>
        <v/>
      </c>
    </row>
    <row r="178" ht="15" customHeight="1" s="24">
      <c r="A178" s="43" t="n">
        <v>177</v>
      </c>
      <c r="B178" s="44" t="inlineStr">
        <is>
          <t>República romana (509–28 a.C.)</t>
        </is>
      </c>
      <c r="C178" s="45" t="inlineStr">
        <is>
          <t>338 a.C.</t>
        </is>
      </c>
      <c r="D178" s="44" t="inlineStr">
        <is>
          <t>A dissolução da Liga Latina</t>
        </is>
      </c>
      <c r="E178" s="44" t="inlineStr">
        <is>
          <t>Fórum Romano, Roma</t>
        </is>
      </c>
      <c r="F178" s="45" t="inlineStr">
        <is>
          <t>Pendente</t>
        </is>
      </c>
      <c r="G178" s="45" t="n">
        <v>-338</v>
      </c>
      <c r="H178" s="43" t="n">
        <v>131</v>
      </c>
      <c r="I178" s="46">
        <f>IF(H178=0,DATE(2026,10,29),IF(H178=1,DATE(2026,10,30),DATE(2026,11,2)+7*INT((H178-2)/3)+CHOOSE(MOD(H178-2,3)+1,0,2,4)))</f>
        <v/>
      </c>
    </row>
    <row r="179" ht="15" customHeight="1" s="24">
      <c r="A179" s="43" t="n">
        <v>178</v>
      </c>
      <c r="B179" s="44" t="inlineStr">
        <is>
          <t>República romana (509–28 a.C.)</t>
        </is>
      </c>
      <c r="C179" s="45" t="inlineStr">
        <is>
          <t>338 a.C.</t>
        </is>
      </c>
      <c r="D179" s="44" t="inlineStr">
        <is>
          <t>Os rostra: os bicos dos navios de Âncio</t>
        </is>
      </c>
      <c r="E179" s="44" t="inlineStr">
        <is>
          <t>Fórum Romano, Roma</t>
        </is>
      </c>
      <c r="F179" s="45" t="inlineStr">
        <is>
          <t>Pendente</t>
        </is>
      </c>
      <c r="G179" s="45" t="n">
        <v>-338</v>
      </c>
      <c r="H179" s="43" t="n">
        <v>132</v>
      </c>
      <c r="I179" s="46">
        <f>IF(H179=0,DATE(2026,10,29),IF(H179=1,DATE(2026,10,30),DATE(2026,11,2)+7*INT((H179-2)/3)+CHOOSE(MOD(H179-2,3)+1,0,2,4)))</f>
        <v/>
      </c>
    </row>
    <row r="180" ht="15" customHeight="1" s="24">
      <c r="A180" s="43" t="n">
        <v>179</v>
      </c>
      <c r="B180" s="44" t="inlineStr">
        <is>
          <t>República romana (509–28 a.C.)</t>
        </is>
      </c>
      <c r="C180" s="45" t="inlineStr">
        <is>
          <t>334 a.C.</t>
        </is>
      </c>
      <c r="D180" s="44" t="inlineStr">
        <is>
          <t>A colônia de Cales</t>
        </is>
      </c>
      <c r="E180" s="44" t="inlineStr">
        <is>
          <t>Calvi Risorta</t>
        </is>
      </c>
      <c r="F180" s="45" t="inlineStr">
        <is>
          <t>Pendente</t>
        </is>
      </c>
      <c r="G180" s="45" t="n">
        <v>-334</v>
      </c>
      <c r="H180" s="43" t="n">
        <v>133</v>
      </c>
      <c r="I180" s="46">
        <f>IF(H180=0,DATE(2026,10,29),IF(H180=1,DATE(2026,10,30),DATE(2026,11,2)+7*INT((H180-2)/3)+CHOOSE(MOD(H180-2,3)+1,0,2,4)))</f>
        <v/>
      </c>
    </row>
    <row r="181" ht="15" customHeight="1" s="24">
      <c r="A181" s="43" t="n">
        <v>180</v>
      </c>
      <c r="B181" s="44" t="inlineStr">
        <is>
          <t>República romana (509–28 a.C.)</t>
        </is>
      </c>
      <c r="C181" s="45" t="inlineStr">
        <is>
          <t>327 a.C.</t>
        </is>
      </c>
      <c r="D181" s="44" t="inlineStr">
        <is>
          <t>A Segunda Guerra Samnita</t>
        </is>
      </c>
      <c r="E181" s="44" t="inlineStr">
        <is>
          <t>Samnio</t>
        </is>
      </c>
      <c r="F181" s="45" t="inlineStr">
        <is>
          <t>Pendente</t>
        </is>
      </c>
      <c r="G181" s="45" t="n">
        <v>-327</v>
      </c>
      <c r="H181" s="43" t="n">
        <v>134</v>
      </c>
      <c r="I181" s="46">
        <f>IF(H181=0,DATE(2026,10,29),IF(H181=1,DATE(2026,10,30),DATE(2026,11,2)+7*INT((H181-2)/3)+CHOOSE(MOD(H181-2,3)+1,0,2,4)))</f>
        <v/>
      </c>
    </row>
    <row r="182" ht="15" customHeight="1" s="24">
      <c r="A182" s="43" t="n">
        <v>181</v>
      </c>
      <c r="B182" s="44" t="inlineStr">
        <is>
          <t>República romana (509–28 a.C.)</t>
        </is>
      </c>
      <c r="C182" s="45" t="inlineStr">
        <is>
          <t>321 a.C.</t>
        </is>
      </c>
      <c r="D182" s="44" t="inlineStr">
        <is>
          <t>As Forcas Caudinas</t>
        </is>
      </c>
      <c r="E182" s="44" t="inlineStr">
        <is>
          <t>Arpaia</t>
        </is>
      </c>
      <c r="F182" s="45" t="inlineStr">
        <is>
          <t>Pendente</t>
        </is>
      </c>
      <c r="G182" s="45" t="n">
        <v>-321</v>
      </c>
      <c r="H182" s="43" t="n">
        <v>135</v>
      </c>
      <c r="I182" s="46">
        <f>IF(H182=0,DATE(2026,10,29),IF(H182=1,DATE(2026,10,30),DATE(2026,11,2)+7*INT((H182-2)/3)+CHOOSE(MOD(H182-2,3)+1,0,2,4)))</f>
        <v/>
      </c>
    </row>
    <row r="183" ht="15" customHeight="1" s="24">
      <c r="A183" s="43" t="n">
        <v>182</v>
      </c>
      <c r="B183" s="44" t="inlineStr">
        <is>
          <t>República romana (509–28 a.C.)</t>
        </is>
      </c>
      <c r="C183" s="45" t="inlineStr">
        <is>
          <t>312 a.C.</t>
        </is>
      </c>
      <c r="D183" s="44" t="inlineStr">
        <is>
          <t>Ápio Cláudio e a Via Ápia</t>
        </is>
      </c>
      <c r="E183" s="44" t="inlineStr">
        <is>
          <t>Via Ápia Antiga, Roma</t>
        </is>
      </c>
      <c r="F183" s="45" t="inlineStr">
        <is>
          <t>Pendente</t>
        </is>
      </c>
      <c r="G183" s="45" t="n">
        <v>-312</v>
      </c>
      <c r="H183" s="43" t="n">
        <v>136</v>
      </c>
      <c r="I183" s="46">
        <f>IF(H183=0,DATE(2026,10,29),IF(H183=1,DATE(2026,10,30),DATE(2026,11,2)+7*INT((H183-2)/3)+CHOOSE(MOD(H183-2,3)+1,0,2,4)))</f>
        <v/>
      </c>
    </row>
    <row r="184" ht="15" customHeight="1" s="24">
      <c r="A184" s="43" t="n">
        <v>183</v>
      </c>
      <c r="B184" s="44" t="inlineStr">
        <is>
          <t>República romana (509–28 a.C.)</t>
        </is>
      </c>
      <c r="C184" s="45" t="inlineStr">
        <is>
          <t>312 a.C.</t>
        </is>
      </c>
      <c r="D184" s="44" t="inlineStr">
        <is>
          <t>O primeiro aqueduto: Aqua Appia</t>
        </is>
      </c>
      <c r="E184" s="44" t="inlineStr">
        <is>
          <t>Porta Maggiore, Roma</t>
        </is>
      </c>
      <c r="F184" s="45" t="inlineStr">
        <is>
          <t>Pendente</t>
        </is>
      </c>
      <c r="G184" s="45" t="n">
        <v>-312</v>
      </c>
      <c r="H184" s="43" t="n">
        <v>137</v>
      </c>
      <c r="I184" s="46">
        <f>IF(H184=0,DATE(2026,10,29),IF(H184=1,DATE(2026,10,30),DATE(2026,11,2)+7*INT((H184-2)/3)+CHOOSE(MOD(H184-2,3)+1,0,2,4)))</f>
        <v/>
      </c>
    </row>
    <row r="185" ht="15" customHeight="1" s="24">
      <c r="A185" s="43" t="n">
        <v>184</v>
      </c>
      <c r="B185" s="44" t="inlineStr">
        <is>
          <t>República romana (509–28 a.C.)</t>
        </is>
      </c>
      <c r="C185" s="45" t="inlineStr">
        <is>
          <t>310 a.C.</t>
        </is>
      </c>
      <c r="D185" s="44" t="inlineStr">
        <is>
          <t>A batalha do Lago Vadimo</t>
        </is>
      </c>
      <c r="E185" s="44" t="inlineStr">
        <is>
          <t>Lago Vadimo</t>
        </is>
      </c>
      <c r="F185" s="45" t="inlineStr">
        <is>
          <t>Pendente</t>
        </is>
      </c>
      <c r="G185" s="45" t="n">
        <v>-310</v>
      </c>
      <c r="H185" s="43" t="n">
        <v>138</v>
      </c>
      <c r="I185" s="46">
        <f>IF(H185=0,DATE(2026,10,29),IF(H185=1,DATE(2026,10,30),DATE(2026,11,2)+7*INT((H185-2)/3)+CHOOSE(MOD(H185-2,3)+1,0,2,4)))</f>
        <v/>
      </c>
    </row>
    <row r="186" ht="15" customHeight="1" s="24">
      <c r="A186" s="43" t="n">
        <v>185</v>
      </c>
      <c r="B186" s="44" t="inlineStr">
        <is>
          <t>República romana (509–28 a.C.)</t>
        </is>
      </c>
      <c r="C186" s="45" t="inlineStr">
        <is>
          <t>304 a.C.</t>
        </is>
      </c>
      <c r="D186" s="44" t="inlineStr">
        <is>
          <t>Gneu Flávio e a divulgação do direito</t>
        </is>
      </c>
      <c r="E186" s="44" t="inlineStr">
        <is>
          <t>Fórum Romano, Roma</t>
        </is>
      </c>
      <c r="F186" s="45" t="inlineStr">
        <is>
          <t>Pendente</t>
        </is>
      </c>
      <c r="G186" s="45" t="n">
        <v>-304</v>
      </c>
      <c r="H186" s="43" t="n">
        <v>139</v>
      </c>
      <c r="I186" s="46">
        <f>IF(H186=0,DATE(2026,10,29),IF(H186=1,DATE(2026,10,30),DATE(2026,11,2)+7*INT((H186-2)/3)+CHOOSE(MOD(H186-2,3)+1,0,2,4)))</f>
        <v/>
      </c>
    </row>
    <row r="187" ht="15" customHeight="1" s="24">
      <c r="A187" s="43" t="n">
        <v>186</v>
      </c>
      <c r="B187" s="44" t="inlineStr">
        <is>
          <t>República romana (509–28 a.C.)</t>
        </is>
      </c>
      <c r="C187" s="45" t="inlineStr">
        <is>
          <t>300 a.C.</t>
        </is>
      </c>
      <c r="D187" s="44" t="inlineStr">
        <is>
          <t>A Lex Ogulnia e os sacerdotes plebeus</t>
        </is>
      </c>
      <c r="E187" s="44" t="inlineStr">
        <is>
          <t>Fórum Romano, Roma</t>
        </is>
      </c>
      <c r="F187" s="45" t="inlineStr">
        <is>
          <t>Pendente</t>
        </is>
      </c>
      <c r="G187" s="45" t="n">
        <v>-300</v>
      </c>
      <c r="H187" s="43" t="n">
        <v>140</v>
      </c>
      <c r="I187" s="46">
        <f>IF(H187=0,DATE(2026,10,29),IF(H187=1,DATE(2026,10,30),DATE(2026,11,2)+7*INT((H187-2)/3)+CHOOSE(MOD(H187-2,3)+1,0,2,4)))</f>
        <v/>
      </c>
    </row>
    <row r="188" ht="15" customHeight="1" s="24">
      <c r="A188" s="43" t="n">
        <v>187</v>
      </c>
      <c r="B188" s="44" t="inlineStr">
        <is>
          <t>República romana (509–28 a.C.)</t>
        </is>
      </c>
      <c r="C188" s="45" t="inlineStr">
        <is>
          <t>298 a.C.</t>
        </is>
      </c>
      <c r="D188" s="44" t="inlineStr">
        <is>
          <t>A Terceira Guerra Samnita</t>
        </is>
      </c>
      <c r="E188" s="44" t="inlineStr">
        <is>
          <t>Samnio</t>
        </is>
      </c>
      <c r="F188" s="45" t="inlineStr">
        <is>
          <t>Pendente</t>
        </is>
      </c>
      <c r="G188" s="45" t="n">
        <v>-298</v>
      </c>
      <c r="H188" s="43" t="n">
        <v>141</v>
      </c>
      <c r="I188" s="46">
        <f>IF(H188=0,DATE(2026,10,29),IF(H188=1,DATE(2026,10,30),DATE(2026,11,2)+7*INT((H188-2)/3)+CHOOSE(MOD(H188-2,3)+1,0,2,4)))</f>
        <v/>
      </c>
    </row>
    <row r="189" ht="15" customHeight="1" s="24">
      <c r="A189" s="43" t="n">
        <v>188</v>
      </c>
      <c r="B189" s="44" t="inlineStr">
        <is>
          <t>República romana (509–28 a.C.)</t>
        </is>
      </c>
      <c r="C189" s="45" t="inlineStr">
        <is>
          <t>295 a.C.</t>
        </is>
      </c>
      <c r="D189" s="44" t="inlineStr">
        <is>
          <t>A batalha de Sentino</t>
        </is>
      </c>
      <c r="E189" s="44" t="inlineStr">
        <is>
          <t>Sentino</t>
        </is>
      </c>
      <c r="F189" s="45" t="inlineStr">
        <is>
          <t>Pendente</t>
        </is>
      </c>
      <c r="G189" s="45" t="n">
        <v>-295</v>
      </c>
      <c r="H189" s="43" t="n">
        <v>142</v>
      </c>
      <c r="I189" s="46">
        <f>IF(H189=0,DATE(2026,10,29),IF(H189=1,DATE(2026,10,30),DATE(2026,11,2)+7*INT((H189-2)/3)+CHOOSE(MOD(H189-2,3)+1,0,2,4)))</f>
        <v/>
      </c>
    </row>
    <row r="190" ht="15" customHeight="1" s="24">
      <c r="A190" s="43" t="n">
        <v>189</v>
      </c>
      <c r="B190" s="44" t="inlineStr">
        <is>
          <t>República romana (509–28 a.C.)</t>
        </is>
      </c>
      <c r="C190" s="45" t="inlineStr">
        <is>
          <t>290 a.C.</t>
        </is>
      </c>
      <c r="D190" s="44" t="inlineStr">
        <is>
          <t>Mânio Cúrio Dentato e a anexação da Sabina</t>
        </is>
      </c>
      <c r="E190" s="44" t="inlineStr">
        <is>
          <t>Rieti</t>
        </is>
      </c>
      <c r="F190" s="45" t="inlineStr">
        <is>
          <t>Pendente</t>
        </is>
      </c>
      <c r="G190" s="45" t="n">
        <v>-290</v>
      </c>
      <c r="H190" s="43" t="n">
        <v>143</v>
      </c>
      <c r="I190" s="46">
        <f>IF(H190=0,DATE(2026,10,29),IF(H190=1,DATE(2026,10,30),DATE(2026,11,2)+7*INT((H190-2)/3)+CHOOSE(MOD(H190-2,3)+1,0,2,4)))</f>
        <v/>
      </c>
    </row>
    <row r="191" ht="15" customHeight="1" s="24">
      <c r="A191" s="43" t="n">
        <v>190</v>
      </c>
      <c r="B191" s="44" t="inlineStr">
        <is>
          <t>República romana (509–28 a.C.)</t>
        </is>
      </c>
      <c r="C191" s="45" t="inlineStr">
        <is>
          <t>287 a.C.</t>
        </is>
      </c>
      <c r="D191" s="44" t="inlineStr">
        <is>
          <t>A Lex Hortensia: o fim da luta das ordens</t>
        </is>
      </c>
      <c r="E191" s="44" t="inlineStr">
        <is>
          <t>Fórum Romano, Roma</t>
        </is>
      </c>
      <c r="F191" s="45" t="inlineStr">
        <is>
          <t>Pendente</t>
        </is>
      </c>
      <c r="G191" s="45" t="n">
        <v>-287</v>
      </c>
      <c r="H191" s="43" t="n">
        <v>144</v>
      </c>
      <c r="I191" s="46">
        <f>IF(H191=0,DATE(2026,10,29),IF(H191=1,DATE(2026,10,30),DATE(2026,11,2)+7*INT((H191-2)/3)+CHOOSE(MOD(H191-2,3)+1,0,2,4)))</f>
        <v/>
      </c>
    </row>
    <row r="192" ht="15" customHeight="1" s="24">
      <c r="A192" s="43" t="n">
        <v>191</v>
      </c>
      <c r="B192" s="44" t="inlineStr">
        <is>
          <t>República romana (509–28 a.C.)</t>
        </is>
      </c>
      <c r="C192" s="45" t="inlineStr">
        <is>
          <t>282 a.C.</t>
        </is>
      </c>
      <c r="D192" s="44" t="inlineStr">
        <is>
          <t>Tarento chama Pirro</t>
        </is>
      </c>
      <c r="E192" s="44" t="inlineStr">
        <is>
          <t>Tarento</t>
        </is>
      </c>
      <c r="F192" s="45" t="inlineStr">
        <is>
          <t>Pendente</t>
        </is>
      </c>
      <c r="G192" s="45" t="n">
        <v>-282</v>
      </c>
      <c r="H192" s="43" t="n">
        <v>145</v>
      </c>
      <c r="I192" s="46">
        <f>IF(H192=0,DATE(2026,10,29),IF(H192=1,DATE(2026,10,30),DATE(2026,11,2)+7*INT((H192-2)/3)+CHOOSE(MOD(H192-2,3)+1,0,2,4)))</f>
        <v/>
      </c>
    </row>
    <row r="193" ht="15" customHeight="1" s="24">
      <c r="A193" s="43" t="n">
        <v>192</v>
      </c>
      <c r="B193" s="44" t="inlineStr">
        <is>
          <t>República romana (509–28 a.C.)</t>
        </is>
      </c>
      <c r="C193" s="45" t="inlineStr">
        <is>
          <t>280 a.C.</t>
        </is>
      </c>
      <c r="D193" s="44" t="inlineStr">
        <is>
          <t>Pirro desembarca na Itália</t>
        </is>
      </c>
      <c r="E193" s="44" t="inlineStr">
        <is>
          <t>Heracleia</t>
        </is>
      </c>
      <c r="F193" s="45" t="inlineStr">
        <is>
          <t>Pendente</t>
        </is>
      </c>
      <c r="G193" s="45" t="n">
        <v>-280</v>
      </c>
      <c r="H193" s="43" t="n">
        <v>146</v>
      </c>
      <c r="I193" s="46">
        <f>IF(H193=0,DATE(2026,10,29),IF(H193=1,DATE(2026,10,30),DATE(2026,11,2)+7*INT((H193-2)/3)+CHOOSE(MOD(H193-2,3)+1,0,2,4)))</f>
        <v/>
      </c>
    </row>
    <row r="194" ht="15" customHeight="1" s="24">
      <c r="A194" s="43" t="n">
        <v>193</v>
      </c>
      <c r="B194" s="44" t="inlineStr">
        <is>
          <t>República romana (509–28 a.C.)</t>
        </is>
      </c>
      <c r="C194" s="45" t="inlineStr">
        <is>
          <t>279 a.C.</t>
        </is>
      </c>
      <c r="D194" s="44" t="inlineStr">
        <is>
          <t>Ásculo e a vitória de Pirro</t>
        </is>
      </c>
      <c r="E194" s="44" t="inlineStr">
        <is>
          <t>Ásculo Satriano</t>
        </is>
      </c>
      <c r="F194" s="45" t="inlineStr">
        <is>
          <t>Pendente</t>
        </is>
      </c>
      <c r="G194" s="45" t="n">
        <v>-279</v>
      </c>
      <c r="H194" s="43" t="n">
        <v>147</v>
      </c>
      <c r="I194" s="46">
        <f>IF(H194=0,DATE(2026,10,29),IF(H194=1,DATE(2026,10,30),DATE(2026,11,2)+7*INT((H194-2)/3)+CHOOSE(MOD(H194-2,3)+1,0,2,4)))</f>
        <v/>
      </c>
    </row>
    <row r="195" ht="15" customHeight="1" s="24">
      <c r="A195" s="43" t="n">
        <v>194</v>
      </c>
      <c r="B195" s="44" t="inlineStr">
        <is>
          <t>República romana (509–28 a.C.)</t>
        </is>
      </c>
      <c r="C195" s="45" t="inlineStr">
        <is>
          <t>275 a.C.</t>
        </is>
      </c>
      <c r="D195" s="44" t="inlineStr">
        <is>
          <t>Benevento: o fim da guerra com Pirro</t>
        </is>
      </c>
      <c r="E195" s="44" t="inlineStr">
        <is>
          <t>Benevento</t>
        </is>
      </c>
      <c r="F195" s="45" t="inlineStr">
        <is>
          <t>Pendente</t>
        </is>
      </c>
      <c r="G195" s="45" t="n">
        <v>-275</v>
      </c>
      <c r="H195" s="43" t="n">
        <v>148</v>
      </c>
      <c r="I195" s="46">
        <f>IF(H195=0,DATE(2026,10,29),IF(H195=1,DATE(2026,10,30),DATE(2026,11,2)+7*INT((H195-2)/3)+CHOOSE(MOD(H195-2,3)+1,0,2,4)))</f>
        <v/>
      </c>
    </row>
    <row r="196" ht="15" customHeight="1" s="24">
      <c r="A196" s="43" t="n">
        <v>195</v>
      </c>
      <c r="B196" s="44" t="inlineStr">
        <is>
          <t>República romana (509–28 a.C.)</t>
        </is>
      </c>
      <c r="C196" s="45" t="inlineStr">
        <is>
          <t>272 a.C.</t>
        </is>
      </c>
      <c r="D196" s="44" t="inlineStr">
        <is>
          <t>Tarento cai nas mãos de Roma</t>
        </is>
      </c>
      <c r="E196" s="44" t="inlineStr">
        <is>
          <t>Tarento</t>
        </is>
      </c>
      <c r="F196" s="45" t="inlineStr">
        <is>
          <t>Pendente</t>
        </is>
      </c>
      <c r="G196" s="45" t="n">
        <v>-272</v>
      </c>
      <c r="H196" s="43" t="n">
        <v>149</v>
      </c>
      <c r="I196" s="46">
        <f>IF(H196=0,DATE(2026,10,29),IF(H196=1,DATE(2026,10,30),DATE(2026,11,2)+7*INT((H196-2)/3)+CHOOSE(MOD(H196-2,3)+1,0,2,4)))</f>
        <v/>
      </c>
    </row>
    <row r="197" ht="15" customHeight="1" s="24">
      <c r="A197" s="43" t="n">
        <v>196</v>
      </c>
      <c r="B197" s="44" t="inlineStr">
        <is>
          <t>República romana (509–28 a.C.)</t>
        </is>
      </c>
      <c r="C197" s="45" t="inlineStr">
        <is>
          <t>270 a.C.</t>
        </is>
      </c>
      <c r="D197" s="44" t="inlineStr">
        <is>
          <t>A conquista de Régio</t>
        </is>
      </c>
      <c r="E197" s="44" t="inlineStr">
        <is>
          <t>Reggio Calabria</t>
        </is>
      </c>
      <c r="F197" s="45" t="inlineStr">
        <is>
          <t>Pendente</t>
        </is>
      </c>
      <c r="G197" s="45" t="n">
        <v>-270</v>
      </c>
      <c r="H197" s="43" t="n">
        <v>150</v>
      </c>
      <c r="I197" s="46">
        <f>IF(H197=0,DATE(2026,10,29),IF(H197=1,DATE(2026,10,30),DATE(2026,11,2)+7*INT((H197-2)/3)+CHOOSE(MOD(H197-2,3)+1,0,2,4)))</f>
        <v/>
      </c>
    </row>
    <row r="198" ht="23.85" customHeight="1" s="24">
      <c r="A198" s="43" t="n">
        <v>197</v>
      </c>
      <c r="B198" s="44" t="inlineStr">
        <is>
          <t>República romana (509–28 a.C.)</t>
        </is>
      </c>
      <c r="C198" s="45" t="inlineStr">
        <is>
          <t>269 a.C.</t>
        </is>
      </c>
      <c r="D198" s="44" t="inlineStr">
        <is>
          <t>A primeira moeda de prata romana</t>
        </is>
      </c>
      <c r="E198" s="44" t="inlineStr">
        <is>
          <t>Museo Nazionale Romano, Palazzo Massimo, Roma</t>
        </is>
      </c>
      <c r="F198" s="45" t="inlineStr">
        <is>
          <t>Pendente</t>
        </is>
      </c>
      <c r="G198" s="45" t="n">
        <v>-269</v>
      </c>
      <c r="H198" s="43" t="n">
        <v>151</v>
      </c>
      <c r="I198" s="46">
        <f>IF(H198=0,DATE(2026,10,29),IF(H198=1,DATE(2026,10,30),DATE(2026,11,2)+7*INT((H198-2)/3)+CHOOSE(MOD(H198-2,3)+1,0,2,4)))</f>
        <v/>
      </c>
    </row>
    <row r="199" ht="15" customHeight="1" s="24">
      <c r="A199" s="43" t="n">
        <v>198</v>
      </c>
      <c r="B199" s="44" t="inlineStr">
        <is>
          <t>República romana (509–28 a.C.)</t>
        </is>
      </c>
      <c r="C199" s="45" t="inlineStr">
        <is>
          <t>264 a.C.</t>
        </is>
      </c>
      <c r="D199" s="44" t="inlineStr">
        <is>
          <t>Roma e Cartago: a Primeira Guerra Púnica</t>
        </is>
      </c>
      <c r="E199" s="44" t="inlineStr">
        <is>
          <t>Palazzo Massimo, Roma</t>
        </is>
      </c>
      <c r="F199" s="45" t="inlineStr">
        <is>
          <t>Pendente</t>
        </is>
      </c>
      <c r="G199" s="45" t="n">
        <v>-264</v>
      </c>
      <c r="H199" s="43" t="n">
        <v>152</v>
      </c>
      <c r="I199" s="46">
        <f>IF(H199=0,DATE(2026,10,29),IF(H199=1,DATE(2026,10,30),DATE(2026,11,2)+7*INT((H199-2)/3)+CHOOSE(MOD(H199-2,3)+1,0,2,4)))</f>
        <v/>
      </c>
    </row>
    <row r="200" ht="15" customHeight="1" s="24">
      <c r="A200" s="43" t="n">
        <v>199</v>
      </c>
      <c r="B200" s="44" t="inlineStr">
        <is>
          <t>República romana (509–28 a.C.)</t>
        </is>
      </c>
      <c r="C200" s="45" t="inlineStr">
        <is>
          <t>260 a.C.</t>
        </is>
      </c>
      <c r="D200" s="44" t="inlineStr">
        <is>
          <t>Duílio e a coluna rostral</t>
        </is>
      </c>
      <c r="E200" s="44" t="inlineStr">
        <is>
          <t>Fórum Romano, Roma</t>
        </is>
      </c>
      <c r="F200" s="45" t="inlineStr">
        <is>
          <t>Pendente</t>
        </is>
      </c>
      <c r="G200" s="45" t="n">
        <v>-260</v>
      </c>
      <c r="H200" s="43" t="n">
        <v>153</v>
      </c>
      <c r="I200" s="46">
        <f>IF(H200=0,DATE(2026,10,29),IF(H200=1,DATE(2026,10,30),DATE(2026,11,2)+7*INT((H200-2)/3)+CHOOSE(MOD(H200-2,3)+1,0,2,4)))</f>
        <v/>
      </c>
    </row>
    <row r="201" ht="15" customHeight="1" s="24">
      <c r="A201" s="43" t="n">
        <v>200</v>
      </c>
      <c r="B201" s="44" t="inlineStr">
        <is>
          <t>República romana (509–28 a.C.)</t>
        </is>
      </c>
      <c r="C201" s="45" t="inlineStr">
        <is>
          <t>256 a.C.</t>
        </is>
      </c>
      <c r="D201" s="44" t="inlineStr">
        <is>
          <t>Régulo na África</t>
        </is>
      </c>
      <c r="E201" s="44" t="inlineStr">
        <is>
          <t>A definir (Roma)</t>
        </is>
      </c>
      <c r="F201" s="45" t="inlineStr">
        <is>
          <t>Pendente</t>
        </is>
      </c>
      <c r="G201" s="45" t="n">
        <v>-256</v>
      </c>
      <c r="H201" s="43" t="n">
        <v>154</v>
      </c>
      <c r="I201" s="46">
        <f>IF(H201=0,DATE(2026,10,29),IF(H201=1,DATE(2026,10,30),DATE(2026,11,2)+7*INT((H201-2)/3)+CHOOSE(MOD(H201-2,3)+1,0,2,4)))</f>
        <v/>
      </c>
    </row>
    <row r="202" ht="15" customHeight="1" s="24">
      <c r="A202" s="43" t="n">
        <v>201</v>
      </c>
      <c r="B202" s="44" t="inlineStr">
        <is>
          <t>República romana (509–28 a.C.)</t>
        </is>
      </c>
      <c r="C202" s="45" t="inlineStr">
        <is>
          <t>241 a.C.</t>
        </is>
      </c>
      <c r="D202" s="44" t="inlineStr">
        <is>
          <t>A batalha das ilhas Égates</t>
        </is>
      </c>
      <c r="E202" s="44" t="inlineStr">
        <is>
          <t>Ilhas Égadas</t>
        </is>
      </c>
      <c r="F202" s="45" t="inlineStr">
        <is>
          <t>Pendente</t>
        </is>
      </c>
      <c r="G202" s="45" t="n">
        <v>-241</v>
      </c>
      <c r="H202" s="43" t="n">
        <v>155</v>
      </c>
      <c r="I202" s="46">
        <f>IF(H202=0,DATE(2026,10,29),IF(H202=1,DATE(2026,10,30),DATE(2026,11,2)+7*INT((H202-2)/3)+CHOOSE(MOD(H202-2,3)+1,0,2,4)))</f>
        <v/>
      </c>
    </row>
    <row r="203" ht="15" customHeight="1" s="24">
      <c r="A203" s="43" t="n">
        <v>202</v>
      </c>
      <c r="B203" s="44" t="inlineStr">
        <is>
          <t>República romana (509–28 a.C.)</t>
        </is>
      </c>
      <c r="C203" s="45" t="inlineStr">
        <is>
          <t>241 a.C.</t>
        </is>
      </c>
      <c r="D203" s="44" t="inlineStr">
        <is>
          <t>A Sicília torna-se província romana</t>
        </is>
      </c>
      <c r="E203" s="44" t="inlineStr">
        <is>
          <t>Siracusa</t>
        </is>
      </c>
      <c r="F203" s="45" t="inlineStr">
        <is>
          <t>Pendente</t>
        </is>
      </c>
      <c r="G203" s="45" t="n">
        <v>-241</v>
      </c>
      <c r="H203" s="43" t="n">
        <v>156</v>
      </c>
      <c r="I203" s="46">
        <f>IF(H203=0,DATE(2026,10,29),IF(H203=1,DATE(2026,10,30),DATE(2026,11,2)+7*INT((H203-2)/3)+CHOOSE(MOD(H203-2,3)+1,0,2,4)))</f>
        <v/>
      </c>
    </row>
    <row r="204" ht="15" customHeight="1" s="24">
      <c r="A204" s="43" t="n">
        <v>203</v>
      </c>
      <c r="B204" s="44" t="inlineStr">
        <is>
          <t>República romana (509–28 a.C.)</t>
        </is>
      </c>
      <c r="C204" s="45" t="inlineStr">
        <is>
          <t>238 a.C.</t>
        </is>
      </c>
      <c r="D204" s="44" t="inlineStr">
        <is>
          <t>A Sardenha e a Córsega</t>
        </is>
      </c>
      <c r="E204" s="44" t="inlineStr">
        <is>
          <t>Cagliari</t>
        </is>
      </c>
      <c r="F204" s="45" t="inlineStr">
        <is>
          <t>Pendente</t>
        </is>
      </c>
      <c r="G204" s="45" t="n">
        <v>-238</v>
      </c>
      <c r="H204" s="43" t="n">
        <v>157</v>
      </c>
      <c r="I204" s="46">
        <f>IF(H204=0,DATE(2026,10,29),IF(H204=1,DATE(2026,10,30),DATE(2026,11,2)+7*INT((H204-2)/3)+CHOOSE(MOD(H204-2,3)+1,0,2,4)))</f>
        <v/>
      </c>
    </row>
    <row r="205" ht="15" customHeight="1" s="24">
      <c r="A205" s="43" t="n">
        <v>204</v>
      </c>
      <c r="B205" s="44" t="inlineStr">
        <is>
          <t>República romana (509–28 a.C.)</t>
        </is>
      </c>
      <c r="C205" s="45" t="inlineStr">
        <is>
          <t>232 a.C.</t>
        </is>
      </c>
      <c r="D205" s="44" t="inlineStr">
        <is>
          <t>A reforma agrária de Flamínio</t>
        </is>
      </c>
      <c r="E205" s="44" t="inlineStr">
        <is>
          <t>Via Flamínia, Roma</t>
        </is>
      </c>
      <c r="F205" s="45" t="inlineStr">
        <is>
          <t>Pendente</t>
        </is>
      </c>
      <c r="G205" s="45" t="n">
        <v>-232</v>
      </c>
      <c r="H205" s="43" t="n">
        <v>158</v>
      </c>
      <c r="I205" s="46">
        <f>IF(H205=0,DATE(2026,10,29),IF(H205=1,DATE(2026,10,30),DATE(2026,11,2)+7*INT((H205-2)/3)+CHOOSE(MOD(H205-2,3)+1,0,2,4)))</f>
        <v/>
      </c>
    </row>
    <row r="206" ht="15" customHeight="1" s="24">
      <c r="A206" s="43" t="n">
        <v>205</v>
      </c>
      <c r="B206" s="44" t="inlineStr">
        <is>
          <t>República romana (509–28 a.C.)</t>
        </is>
      </c>
      <c r="C206" s="45" t="inlineStr">
        <is>
          <t>225 a.C.</t>
        </is>
      </c>
      <c r="D206" s="44" t="inlineStr">
        <is>
          <t>A batalha de Telamão: os gauleses cisalpinos</t>
        </is>
      </c>
      <c r="E206" s="44" t="inlineStr">
        <is>
          <t>Talamone</t>
        </is>
      </c>
      <c r="F206" s="45" t="inlineStr">
        <is>
          <t>Pendente</t>
        </is>
      </c>
      <c r="G206" s="45" t="n">
        <v>-225</v>
      </c>
      <c r="H206" s="43" t="n">
        <v>159</v>
      </c>
      <c r="I206" s="46">
        <f>IF(H206=0,DATE(2026,10,29),IF(H206=1,DATE(2026,10,30),DATE(2026,11,2)+7*INT((H206-2)/3)+CHOOSE(MOD(H206-2,3)+1,0,2,4)))</f>
        <v/>
      </c>
    </row>
    <row r="207" ht="15" customHeight="1" s="24">
      <c r="A207" s="43" t="n">
        <v>206</v>
      </c>
      <c r="B207" s="44" t="inlineStr">
        <is>
          <t>República romana (509–28 a.C.)</t>
        </is>
      </c>
      <c r="C207" s="45" t="inlineStr">
        <is>
          <t>220 a.C.</t>
        </is>
      </c>
      <c r="D207" s="44" t="inlineStr">
        <is>
          <t>A Via Flamínia</t>
        </is>
      </c>
      <c r="E207" s="44" t="inlineStr">
        <is>
          <t>Via Flamínia, Roma</t>
        </is>
      </c>
      <c r="F207" s="45" t="inlineStr">
        <is>
          <t>Pendente</t>
        </is>
      </c>
      <c r="G207" s="45" t="n">
        <v>-220</v>
      </c>
      <c r="H207" s="43" t="n">
        <v>160</v>
      </c>
      <c r="I207" s="46">
        <f>IF(H207=0,DATE(2026,10,29),IF(H207=1,DATE(2026,10,30),DATE(2026,11,2)+7*INT((H207-2)/3)+CHOOSE(MOD(H207-2,3)+1,0,2,4)))</f>
        <v/>
      </c>
    </row>
    <row r="208" ht="15" customHeight="1" s="24">
      <c r="A208" s="43" t="n">
        <v>207</v>
      </c>
      <c r="B208" s="44" t="inlineStr">
        <is>
          <t>República romana (509–28 a.C.)</t>
        </is>
      </c>
      <c r="C208" s="45" t="inlineStr">
        <is>
          <t>218 a.C.</t>
        </is>
      </c>
      <c r="D208" s="44" t="inlineStr">
        <is>
          <t>Aníbal cruza os Alpes</t>
        </is>
      </c>
      <c r="E208" s="44" t="inlineStr">
        <is>
          <t>Alpes</t>
        </is>
      </c>
      <c r="F208" s="45" t="inlineStr">
        <is>
          <t>Pendente</t>
        </is>
      </c>
      <c r="G208" s="45" t="n">
        <v>-218</v>
      </c>
      <c r="H208" s="43" t="n">
        <v>161</v>
      </c>
      <c r="I208" s="46">
        <f>IF(H208=0,DATE(2026,10,29),IF(H208=1,DATE(2026,10,30),DATE(2026,11,2)+7*INT((H208-2)/3)+CHOOSE(MOD(H208-2,3)+1,0,2,4)))</f>
        <v/>
      </c>
    </row>
    <row r="209" ht="15" customHeight="1" s="24">
      <c r="A209" s="43" t="n">
        <v>208</v>
      </c>
      <c r="B209" s="44" t="inlineStr">
        <is>
          <t>República romana (509–28 a.C.)</t>
        </is>
      </c>
      <c r="C209" s="45" t="inlineStr">
        <is>
          <t>218 a.C.</t>
        </is>
      </c>
      <c r="D209" s="44" t="inlineStr">
        <is>
          <t>A Segunda Guerra Púnica</t>
        </is>
      </c>
      <c r="E209" s="44" t="inlineStr">
        <is>
          <t>A definir (Roma)</t>
        </is>
      </c>
      <c r="F209" s="45" t="inlineStr">
        <is>
          <t>Pendente</t>
        </is>
      </c>
      <c r="G209" s="45" t="n">
        <v>-218</v>
      </c>
      <c r="H209" s="43" t="n">
        <v>162</v>
      </c>
      <c r="I209" s="46">
        <f>IF(H209=0,DATE(2026,10,29),IF(H209=1,DATE(2026,10,30),DATE(2026,11,2)+7*INT((H209-2)/3)+CHOOSE(MOD(H209-2,3)+1,0,2,4)))</f>
        <v/>
      </c>
    </row>
    <row r="210" ht="15" customHeight="1" s="24">
      <c r="A210" s="43" t="n">
        <v>209</v>
      </c>
      <c r="B210" s="44" t="inlineStr">
        <is>
          <t>República romana (509–28 a.C.)</t>
        </is>
      </c>
      <c r="C210" s="45" t="inlineStr">
        <is>
          <t>217 a.C.</t>
        </is>
      </c>
      <c r="D210" s="44" t="inlineStr">
        <is>
          <t>O Lago Trasimeno</t>
        </is>
      </c>
      <c r="E210" s="44" t="inlineStr">
        <is>
          <t>Lago Trasimeno</t>
        </is>
      </c>
      <c r="F210" s="45" t="inlineStr">
        <is>
          <t>Pendente</t>
        </is>
      </c>
      <c r="G210" s="45" t="n">
        <v>-217</v>
      </c>
      <c r="H210" s="43" t="n">
        <v>163</v>
      </c>
      <c r="I210" s="46">
        <f>IF(H210=0,DATE(2026,10,29),IF(H210=1,DATE(2026,10,30),DATE(2026,11,2)+7*INT((H210-2)/3)+CHOOSE(MOD(H210-2,3)+1,0,2,4)))</f>
        <v/>
      </c>
    </row>
    <row r="211" ht="15" customHeight="1" s="24">
      <c r="A211" s="43" t="n">
        <v>210</v>
      </c>
      <c r="B211" s="44" t="inlineStr">
        <is>
          <t>República romana (509–28 a.C.)</t>
        </is>
      </c>
      <c r="C211" s="45" t="inlineStr">
        <is>
          <t>216 a.C.</t>
        </is>
      </c>
      <c r="D211" s="44" t="inlineStr">
        <is>
          <t>Cannas: a maior derrota de Roma</t>
        </is>
      </c>
      <c r="E211" s="44" t="inlineStr">
        <is>
          <t>Canne della Battaglia</t>
        </is>
      </c>
      <c r="F211" s="45" t="inlineStr">
        <is>
          <t>Pendente</t>
        </is>
      </c>
      <c r="G211" s="45" t="n">
        <v>-216</v>
      </c>
      <c r="H211" s="43" t="n">
        <v>164</v>
      </c>
      <c r="I211" s="46">
        <f>IF(H211=0,DATE(2026,10,29),IF(H211=1,DATE(2026,10,30),DATE(2026,11,2)+7*INT((H211-2)/3)+CHOOSE(MOD(H211-2,3)+1,0,2,4)))</f>
        <v/>
      </c>
    </row>
    <row r="212" ht="15" customHeight="1" s="24">
      <c r="A212" s="43" t="n">
        <v>211</v>
      </c>
      <c r="B212" s="44" t="inlineStr">
        <is>
          <t>República romana (509–28 a.C.)</t>
        </is>
      </c>
      <c r="C212" s="45" t="inlineStr">
        <is>
          <t>215 a.C.</t>
        </is>
      </c>
      <c r="D212" s="44" t="inlineStr">
        <is>
          <t>Fábio Máximo, o Contemporizador</t>
        </is>
      </c>
      <c r="E212" s="44" t="inlineStr">
        <is>
          <t>Fórum Romano, Roma</t>
        </is>
      </c>
      <c r="F212" s="45" t="inlineStr">
        <is>
          <t>Pendente</t>
        </is>
      </c>
      <c r="G212" s="45" t="n">
        <v>-215</v>
      </c>
      <c r="H212" s="43" t="n">
        <v>165</v>
      </c>
      <c r="I212" s="46">
        <f>IF(H212=0,DATE(2026,10,29),IF(H212=1,DATE(2026,10,30),DATE(2026,11,2)+7*INT((H212-2)/3)+CHOOSE(MOD(H212-2,3)+1,0,2,4)))</f>
        <v/>
      </c>
    </row>
    <row r="213" ht="15" customHeight="1" s="24">
      <c r="A213" s="43" t="n">
        <v>212</v>
      </c>
      <c r="B213" s="44" t="inlineStr">
        <is>
          <t>República romana (509–28 a.C.)</t>
        </is>
      </c>
      <c r="C213" s="45" t="inlineStr">
        <is>
          <t>214 a.C.</t>
        </is>
      </c>
      <c r="D213" s="44" t="inlineStr">
        <is>
          <t>Siracusa e Arquimedes</t>
        </is>
      </c>
      <c r="E213" s="44" t="inlineStr">
        <is>
          <t>Parque Arqueológico, Siracusa</t>
        </is>
      </c>
      <c r="F213" s="45" t="inlineStr">
        <is>
          <t>Pendente</t>
        </is>
      </c>
      <c r="G213" s="45" t="n">
        <v>-214</v>
      </c>
      <c r="H213" s="43" t="n">
        <v>166</v>
      </c>
      <c r="I213" s="46">
        <f>IF(H213=0,DATE(2026,10,29),IF(H213=1,DATE(2026,10,30),DATE(2026,11,2)+7*INT((H213-2)/3)+CHOOSE(MOD(H213-2,3)+1,0,2,4)))</f>
        <v/>
      </c>
    </row>
    <row r="214" ht="15" customHeight="1" s="24">
      <c r="A214" s="43" t="n">
        <v>213</v>
      </c>
      <c r="B214" s="44" t="inlineStr">
        <is>
          <t>República romana (509–28 a.C.)</t>
        </is>
      </c>
      <c r="C214" s="45" t="inlineStr">
        <is>
          <t>211 a.C.</t>
        </is>
      </c>
      <c r="D214" s="44" t="inlineStr">
        <is>
          <t>A queda de Capua</t>
        </is>
      </c>
      <c r="E214" s="44" t="inlineStr">
        <is>
          <t>Santa Maria Capua Vetere</t>
        </is>
      </c>
      <c r="F214" s="45" t="inlineStr">
        <is>
          <t>Pendente</t>
        </is>
      </c>
      <c r="G214" s="45" t="n">
        <v>-211</v>
      </c>
      <c r="H214" s="43" t="n">
        <v>167</v>
      </c>
      <c r="I214" s="46">
        <f>IF(H214=0,DATE(2026,10,29),IF(H214=1,DATE(2026,10,30),DATE(2026,11,2)+7*INT((H214-2)/3)+CHOOSE(MOD(H214-2,3)+1,0,2,4)))</f>
        <v/>
      </c>
    </row>
    <row r="215" ht="15" customHeight="1" s="24">
      <c r="A215" s="43" t="n">
        <v>214</v>
      </c>
      <c r="B215" s="44" t="inlineStr">
        <is>
          <t>República romana (509–28 a.C.)</t>
        </is>
      </c>
      <c r="C215" s="45" t="inlineStr">
        <is>
          <t>210 a.C.</t>
        </is>
      </c>
      <c r="D215" s="44" t="inlineStr">
        <is>
          <t>Cipião Africano assume a Hispânia</t>
        </is>
      </c>
      <c r="E215" s="44" t="inlineStr">
        <is>
          <t>A definir (Roma)</t>
        </is>
      </c>
      <c r="F215" s="45" t="inlineStr">
        <is>
          <t>Pendente</t>
        </is>
      </c>
      <c r="G215" s="45" t="n">
        <v>-210</v>
      </c>
      <c r="H215" s="43" t="n">
        <v>168</v>
      </c>
      <c r="I215" s="46">
        <f>IF(H215=0,DATE(2026,10,29),IF(H215=1,DATE(2026,10,30),DATE(2026,11,2)+7*INT((H215-2)/3)+CHOOSE(MOD(H215-2,3)+1,0,2,4)))</f>
        <v/>
      </c>
    </row>
    <row r="216" ht="15" customHeight="1" s="24">
      <c r="A216" s="43" t="n">
        <v>215</v>
      </c>
      <c r="B216" s="44" t="inlineStr">
        <is>
          <t>República romana (509–28 a.C.)</t>
        </is>
      </c>
      <c r="C216" s="45" t="inlineStr">
        <is>
          <t>207 a.C.</t>
        </is>
      </c>
      <c r="D216" s="44" t="inlineStr">
        <is>
          <t>A batalha do Metauro</t>
        </is>
      </c>
      <c r="E216" s="44" t="inlineStr">
        <is>
          <t>Metauro</t>
        </is>
      </c>
      <c r="F216" s="45" t="inlineStr">
        <is>
          <t>Pendente</t>
        </is>
      </c>
      <c r="G216" s="45" t="n">
        <v>-207</v>
      </c>
      <c r="H216" s="43" t="n">
        <v>169</v>
      </c>
      <c r="I216" s="46">
        <f>IF(H216=0,DATE(2026,10,29),IF(H216=1,DATE(2026,10,30),DATE(2026,11,2)+7*INT((H216-2)/3)+CHOOSE(MOD(H216-2,3)+1,0,2,4)))</f>
        <v/>
      </c>
    </row>
    <row r="217" ht="15" customHeight="1" s="24">
      <c r="A217" s="43" t="n">
        <v>216</v>
      </c>
      <c r="B217" s="44" t="inlineStr">
        <is>
          <t>República romana (509–28 a.C.)</t>
        </is>
      </c>
      <c r="C217" s="45" t="inlineStr">
        <is>
          <t>205 a.C.</t>
        </is>
      </c>
      <c r="D217" s="44" t="inlineStr">
        <is>
          <t>A Magna Mater chega a Roma</t>
        </is>
      </c>
      <c r="E217" s="44" t="inlineStr">
        <is>
          <t>Palatino, Roma</t>
        </is>
      </c>
      <c r="F217" s="45" t="inlineStr">
        <is>
          <t>Pendente</t>
        </is>
      </c>
      <c r="G217" s="45" t="n">
        <v>-205</v>
      </c>
      <c r="H217" s="43" t="n">
        <v>170</v>
      </c>
      <c r="I217" s="46">
        <f>IF(H217=0,DATE(2026,10,29),IF(H217=1,DATE(2026,10,30),DATE(2026,11,2)+7*INT((H217-2)/3)+CHOOSE(MOD(H217-2,3)+1,0,2,4)))</f>
        <v/>
      </c>
    </row>
    <row r="218" ht="15" customHeight="1" s="24">
      <c r="A218" s="43" t="n">
        <v>217</v>
      </c>
      <c r="B218" s="44" t="inlineStr">
        <is>
          <t>República romana (509–28 a.C.)</t>
        </is>
      </c>
      <c r="C218" s="45" t="inlineStr">
        <is>
          <t>204 a.C.</t>
        </is>
      </c>
      <c r="D218" s="44" t="inlineStr">
        <is>
          <t>Cipião na África</t>
        </is>
      </c>
      <c r="E218" s="44" t="inlineStr">
        <is>
          <t>A definir (Roma)</t>
        </is>
      </c>
      <c r="F218" s="45" t="inlineStr">
        <is>
          <t>Pendente</t>
        </is>
      </c>
      <c r="G218" s="45" t="n">
        <v>-204</v>
      </c>
      <c r="H218" s="43" t="n">
        <v>171</v>
      </c>
      <c r="I218" s="46">
        <f>IF(H218=0,DATE(2026,10,29),IF(H218=1,DATE(2026,10,30),DATE(2026,11,2)+7*INT((H218-2)/3)+CHOOSE(MOD(H218-2,3)+1,0,2,4)))</f>
        <v/>
      </c>
    </row>
    <row r="219" ht="15" customHeight="1" s="24">
      <c r="A219" s="43" t="n">
        <v>218</v>
      </c>
      <c r="B219" s="44" t="inlineStr">
        <is>
          <t>República romana (509–28 a.C.)</t>
        </is>
      </c>
      <c r="C219" s="45" t="inlineStr">
        <is>
          <t>202 a.C.</t>
        </is>
      </c>
      <c r="D219" s="44" t="inlineStr">
        <is>
          <t>A batalha de Zama</t>
        </is>
      </c>
      <c r="E219" s="44" t="inlineStr">
        <is>
          <t>A definir (Roma)</t>
        </is>
      </c>
      <c r="F219" s="45" t="inlineStr">
        <is>
          <t>Pendente</t>
        </is>
      </c>
      <c r="G219" s="45" t="n">
        <v>-202</v>
      </c>
      <c r="H219" s="43" t="n">
        <v>172</v>
      </c>
      <c r="I219" s="46">
        <f>IF(H219=0,DATE(2026,10,29),IF(H219=1,DATE(2026,10,30),DATE(2026,11,2)+7*INT((H219-2)/3)+CHOOSE(MOD(H219-2,3)+1,0,2,4)))</f>
        <v/>
      </c>
    </row>
    <row r="220" ht="15" customHeight="1" s="24">
      <c r="A220" s="43" t="n">
        <v>219</v>
      </c>
      <c r="B220" s="44" t="inlineStr">
        <is>
          <t>República romana (509–28 a.C.)</t>
        </is>
      </c>
      <c r="C220" s="45" t="inlineStr">
        <is>
          <t>201 a.C.</t>
        </is>
      </c>
      <c r="D220" s="44" t="inlineStr">
        <is>
          <t>O fim da guerra: o tratado com Cartago</t>
        </is>
      </c>
      <c r="E220" s="44" t="inlineStr">
        <is>
          <t>A definir (Roma)</t>
        </is>
      </c>
      <c r="F220" s="45" t="inlineStr">
        <is>
          <t>Pendente</t>
        </is>
      </c>
      <c r="G220" s="45" t="n">
        <v>-201</v>
      </c>
      <c r="H220" s="43" t="n">
        <v>173</v>
      </c>
      <c r="I220" s="46">
        <f>IF(H220=0,DATE(2026,10,29),IF(H220=1,DATE(2026,10,30),DATE(2026,11,2)+7*INT((H220-2)/3)+CHOOSE(MOD(H220-2,3)+1,0,2,4)))</f>
        <v/>
      </c>
    </row>
    <row r="221" ht="15" customHeight="1" s="24">
      <c r="A221" s="43" t="n">
        <v>220</v>
      </c>
      <c r="B221" s="44" t="inlineStr">
        <is>
          <t>República romana (509–28 a.C.)</t>
        </is>
      </c>
      <c r="C221" s="45" t="inlineStr">
        <is>
          <t>200 a.C.</t>
        </is>
      </c>
      <c r="D221" s="44" t="inlineStr">
        <is>
          <t>Roma e o mundo helenístico</t>
        </is>
      </c>
      <c r="E221" s="44" t="inlineStr">
        <is>
          <t>A definir (Roma)</t>
        </is>
      </c>
      <c r="F221" s="45" t="inlineStr">
        <is>
          <t>Pendente</t>
        </is>
      </c>
      <c r="G221" s="45" t="n">
        <v>-200</v>
      </c>
      <c r="H221" s="43" t="n">
        <v>174</v>
      </c>
      <c r="I221" s="46">
        <f>IF(H221=0,DATE(2026,10,29),IF(H221=1,DATE(2026,10,30),DATE(2026,11,2)+7*INT((H221-2)/3)+CHOOSE(MOD(H221-2,3)+1,0,2,4)))</f>
        <v/>
      </c>
    </row>
    <row r="222" ht="15" customHeight="1" s="24">
      <c r="A222" s="43" t="n">
        <v>221</v>
      </c>
      <c r="B222" s="44" t="inlineStr">
        <is>
          <t>República romana (509–28 a.C.)</t>
        </is>
      </c>
      <c r="C222" s="45" t="inlineStr">
        <is>
          <t>196 a.C.</t>
        </is>
      </c>
      <c r="D222" s="44" t="inlineStr">
        <is>
          <t>Flaminino e a liberdade da Grécia</t>
        </is>
      </c>
      <c r="E222" s="44" t="inlineStr">
        <is>
          <t>A definir (Roma)</t>
        </is>
      </c>
      <c r="F222" s="45" t="inlineStr">
        <is>
          <t>Pendente</t>
        </is>
      </c>
      <c r="G222" s="45" t="n">
        <v>-196</v>
      </c>
      <c r="H222" s="43" t="n">
        <v>175</v>
      </c>
      <c r="I222" s="46">
        <f>IF(H222=0,DATE(2026,10,29),IF(H222=1,DATE(2026,10,30),DATE(2026,11,2)+7*INT((H222-2)/3)+CHOOSE(MOD(H222-2,3)+1,0,2,4)))</f>
        <v/>
      </c>
    </row>
    <row r="223" ht="15" customHeight="1" s="24">
      <c r="A223" s="43" t="n">
        <v>222</v>
      </c>
      <c r="B223" s="44" t="inlineStr">
        <is>
          <t>República romana (509–28 a.C.)</t>
        </is>
      </c>
      <c r="C223" s="45" t="inlineStr">
        <is>
          <t>195 a.C.</t>
        </is>
      </c>
      <c r="D223" s="44" t="inlineStr">
        <is>
          <t>A Lei Ópia e as mulheres romanas</t>
        </is>
      </c>
      <c r="E223" s="44" t="inlineStr">
        <is>
          <t>Fórum Romano, Roma</t>
        </is>
      </c>
      <c r="F223" s="45" t="inlineStr">
        <is>
          <t>Pendente</t>
        </is>
      </c>
      <c r="G223" s="45" t="n">
        <v>-195</v>
      </c>
      <c r="H223" s="43" t="n">
        <v>176</v>
      </c>
      <c r="I223" s="46">
        <f>IF(H223=0,DATE(2026,10,29),IF(H223=1,DATE(2026,10,30),DATE(2026,11,2)+7*INT((H223-2)/3)+CHOOSE(MOD(H223-2,3)+1,0,2,4)))</f>
        <v/>
      </c>
    </row>
    <row r="224" ht="15" customHeight="1" s="24">
      <c r="A224" s="43" t="n">
        <v>223</v>
      </c>
      <c r="B224" s="44" t="inlineStr">
        <is>
          <t>República romana (509–28 a.C.)</t>
        </is>
      </c>
      <c r="C224" s="45" t="inlineStr">
        <is>
          <t>193 a.C.</t>
        </is>
      </c>
      <c r="D224" s="44" t="inlineStr">
        <is>
          <t>O Pórtico Emília no Tibre</t>
        </is>
      </c>
      <c r="E224" s="44" t="inlineStr">
        <is>
          <t>A definir (Roma)</t>
        </is>
      </c>
      <c r="F224" s="45" t="inlineStr">
        <is>
          <t>Pendente</t>
        </is>
      </c>
      <c r="G224" s="45" t="n">
        <v>-193</v>
      </c>
      <c r="H224" s="43" t="n">
        <v>177</v>
      </c>
      <c r="I224" s="46">
        <f>IF(H224=0,DATE(2026,10,29),IF(H224=1,DATE(2026,10,30),DATE(2026,11,2)+7*INT((H224-2)/3)+CHOOSE(MOD(H224-2,3)+1,0,2,4)))</f>
        <v/>
      </c>
    </row>
    <row r="225" ht="15" customHeight="1" s="24">
      <c r="A225" s="43" t="n">
        <v>224</v>
      </c>
      <c r="B225" s="44" t="inlineStr">
        <is>
          <t>República romana (509–28 a.C.)</t>
        </is>
      </c>
      <c r="C225" s="45" t="inlineStr">
        <is>
          <t>190 a.C.</t>
        </is>
      </c>
      <c r="D225" s="44" t="inlineStr">
        <is>
          <t>A batalha de Magnésia</t>
        </is>
      </c>
      <c r="E225" s="44" t="inlineStr">
        <is>
          <t>A definir (Roma)</t>
        </is>
      </c>
      <c r="F225" s="45" t="inlineStr">
        <is>
          <t>Pendente</t>
        </is>
      </c>
      <c r="G225" s="45" t="n">
        <v>-190</v>
      </c>
      <c r="H225" s="43" t="n">
        <v>178</v>
      </c>
      <c r="I225" s="46">
        <f>IF(H225=0,DATE(2026,10,29),IF(H225=1,DATE(2026,10,30),DATE(2026,11,2)+7*INT((H225-2)/3)+CHOOSE(MOD(H225-2,3)+1,0,2,4)))</f>
        <v/>
      </c>
    </row>
    <row r="226" ht="15" customHeight="1" s="24">
      <c r="A226" s="43" t="n">
        <v>225</v>
      </c>
      <c r="B226" s="44" t="inlineStr">
        <is>
          <t>República romana (509–28 a.C.)</t>
        </is>
      </c>
      <c r="C226" s="45" t="inlineStr">
        <is>
          <t>189 a.C.</t>
        </is>
      </c>
      <c r="D226" s="44" t="inlineStr">
        <is>
          <t>O triunfo de Cipião Asiático</t>
        </is>
      </c>
      <c r="E226" s="44" t="inlineStr">
        <is>
          <t>A definir (Roma)</t>
        </is>
      </c>
      <c r="F226" s="45" t="inlineStr">
        <is>
          <t>Pendente</t>
        </is>
      </c>
      <c r="G226" s="45" t="n">
        <v>-189</v>
      </c>
      <c r="H226" s="43" t="n">
        <v>179</v>
      </c>
      <c r="I226" s="46">
        <f>IF(H226=0,DATE(2026,10,29),IF(H226=1,DATE(2026,10,30),DATE(2026,11,2)+7*INT((H226-2)/3)+CHOOSE(MOD(H226-2,3)+1,0,2,4)))</f>
        <v/>
      </c>
    </row>
    <row r="227" ht="15" customHeight="1" s="24">
      <c r="A227" s="43" t="n">
        <v>226</v>
      </c>
      <c r="B227" s="44" t="inlineStr">
        <is>
          <t>República romana (509–28 a.C.)</t>
        </is>
      </c>
      <c r="C227" s="45" t="inlineStr">
        <is>
          <t>187 a.C.</t>
        </is>
      </c>
      <c r="D227" s="44" t="inlineStr">
        <is>
          <t>A Via Emília</t>
        </is>
      </c>
      <c r="E227" s="44" t="inlineStr">
        <is>
          <t>Rimini</t>
        </is>
      </c>
      <c r="F227" s="45" t="inlineStr">
        <is>
          <t>Pendente</t>
        </is>
      </c>
      <c r="G227" s="45" t="n">
        <v>-187</v>
      </c>
      <c r="H227" s="43" t="n">
        <v>180</v>
      </c>
      <c r="I227" s="46">
        <f>IF(H227=0,DATE(2026,10,29),IF(H227=1,DATE(2026,10,30),DATE(2026,11,2)+7*INT((H227-2)/3)+CHOOSE(MOD(H227-2,3)+1,0,2,4)))</f>
        <v/>
      </c>
    </row>
    <row r="228" ht="15" customHeight="1" s="24">
      <c r="A228" s="43" t="n">
        <v>227</v>
      </c>
      <c r="B228" s="44" t="inlineStr">
        <is>
          <t>República romana (509–28 a.C.)</t>
        </is>
      </c>
      <c r="C228" s="45" t="inlineStr">
        <is>
          <t>186 a.C.</t>
        </is>
      </c>
      <c r="D228" s="44" t="inlineStr">
        <is>
          <t>O escândalo das Bacanais</t>
        </is>
      </c>
      <c r="E228" s="44" t="inlineStr">
        <is>
          <t>A definir (Roma)</t>
        </is>
      </c>
      <c r="F228" s="45" t="inlineStr">
        <is>
          <t>Pendente</t>
        </is>
      </c>
      <c r="G228" s="45" t="n">
        <v>-186</v>
      </c>
      <c r="H228" s="43" t="n">
        <v>181</v>
      </c>
      <c r="I228" s="46">
        <f>IF(H228=0,DATE(2026,10,29),IF(H228=1,DATE(2026,10,30),DATE(2026,11,2)+7*INT((H228-2)/3)+CHOOSE(MOD(H228-2,3)+1,0,2,4)))</f>
        <v/>
      </c>
    </row>
    <row r="229" ht="15" customHeight="1" s="24">
      <c r="A229" s="43" t="n">
        <v>228</v>
      </c>
      <c r="B229" s="44" t="inlineStr">
        <is>
          <t>República romana (509–28 a.C.)</t>
        </is>
      </c>
      <c r="C229" s="45" t="inlineStr">
        <is>
          <t>184 a.C.</t>
        </is>
      </c>
      <c r="D229" s="44" t="inlineStr">
        <is>
          <t>Catão, o Censor</t>
        </is>
      </c>
      <c r="E229" s="44" t="inlineStr">
        <is>
          <t>Fórum Romano, Roma</t>
        </is>
      </c>
      <c r="F229" s="45" t="inlineStr">
        <is>
          <t>Pendente</t>
        </is>
      </c>
      <c r="G229" s="45" t="n">
        <v>-184</v>
      </c>
      <c r="H229" s="43" t="n">
        <v>182</v>
      </c>
      <c r="I229" s="46">
        <f>IF(H229=0,DATE(2026,10,29),IF(H229=1,DATE(2026,10,30),DATE(2026,11,2)+7*INT((H229-2)/3)+CHOOSE(MOD(H229-2,3)+1,0,2,4)))</f>
        <v/>
      </c>
    </row>
    <row r="230" ht="15" customHeight="1" s="24">
      <c r="A230" s="43" t="n">
        <v>229</v>
      </c>
      <c r="B230" s="44" t="inlineStr">
        <is>
          <t>República romana (509–28 a.C.)</t>
        </is>
      </c>
      <c r="C230" s="45" t="inlineStr">
        <is>
          <t>184 a.C.</t>
        </is>
      </c>
      <c r="D230" s="44" t="inlineStr">
        <is>
          <t>A Basílica Pórcia</t>
        </is>
      </c>
      <c r="E230" s="44" t="inlineStr">
        <is>
          <t>Fórum Romano, Roma</t>
        </is>
      </c>
      <c r="F230" s="45" t="inlineStr">
        <is>
          <t>Pendente</t>
        </is>
      </c>
      <c r="G230" s="45" t="n">
        <v>-184</v>
      </c>
      <c r="H230" s="43" t="n">
        <v>183</v>
      </c>
      <c r="I230" s="46">
        <f>IF(H230=0,DATE(2026,10,29),IF(H230=1,DATE(2026,10,30),DATE(2026,11,2)+7*INT((H230-2)/3)+CHOOSE(MOD(H230-2,3)+1,0,2,4)))</f>
        <v/>
      </c>
    </row>
    <row r="231" ht="15" customHeight="1" s="24">
      <c r="A231" s="43" t="n">
        <v>230</v>
      </c>
      <c r="B231" s="44" t="inlineStr">
        <is>
          <t>República romana (509–28 a.C.)</t>
        </is>
      </c>
      <c r="C231" s="45" t="inlineStr">
        <is>
          <t>179 a.C.</t>
        </is>
      </c>
      <c r="D231" s="44" t="inlineStr">
        <is>
          <t>A Basílica Emília</t>
        </is>
      </c>
      <c r="E231" s="44" t="inlineStr">
        <is>
          <t>Fórum Romano, Roma</t>
        </is>
      </c>
      <c r="F231" s="45" t="inlineStr">
        <is>
          <t>Pendente</t>
        </is>
      </c>
      <c r="G231" s="45" t="n">
        <v>-179</v>
      </c>
      <c r="H231" s="43" t="n">
        <v>184</v>
      </c>
      <c r="I231" s="46">
        <f>IF(H231=0,DATE(2026,10,29),IF(H231=1,DATE(2026,10,30),DATE(2026,11,2)+7*INT((H231-2)/3)+CHOOSE(MOD(H231-2,3)+1,0,2,4)))</f>
        <v/>
      </c>
    </row>
    <row r="232" ht="15" customHeight="1" s="24">
      <c r="A232" s="43" t="n">
        <v>231</v>
      </c>
      <c r="B232" s="44" t="inlineStr">
        <is>
          <t>República romana (509–28 a.C.)</t>
        </is>
      </c>
      <c r="C232" s="45" t="inlineStr">
        <is>
          <t>171 a.C.</t>
        </is>
      </c>
      <c r="D232" s="44" t="inlineStr">
        <is>
          <t>A Terceira Guerra Macedônica</t>
        </is>
      </c>
      <c r="E232" s="44" t="inlineStr">
        <is>
          <t>A definir (Roma)</t>
        </is>
      </c>
      <c r="F232" s="45" t="inlineStr">
        <is>
          <t>Pendente</t>
        </is>
      </c>
      <c r="G232" s="45" t="n">
        <v>-171</v>
      </c>
      <c r="H232" s="43" t="n">
        <v>185</v>
      </c>
      <c r="I232" s="46">
        <f>IF(H232=0,DATE(2026,10,29),IF(H232=1,DATE(2026,10,30),DATE(2026,11,2)+7*INT((H232-2)/3)+CHOOSE(MOD(H232-2,3)+1,0,2,4)))</f>
        <v/>
      </c>
    </row>
    <row r="233" ht="15" customHeight="1" s="24">
      <c r="A233" s="43" t="n">
        <v>232</v>
      </c>
      <c r="B233" s="44" t="inlineStr">
        <is>
          <t>República romana (509–28 a.C.)</t>
        </is>
      </c>
      <c r="C233" s="45" t="inlineStr">
        <is>
          <t>168 a.C.</t>
        </is>
      </c>
      <c r="D233" s="44" t="inlineStr">
        <is>
          <t>Pidna: o fim do reino da Macedônia</t>
        </is>
      </c>
      <c r="E233" s="44" t="inlineStr">
        <is>
          <t>A definir (Roma)</t>
        </is>
      </c>
      <c r="F233" s="45" t="inlineStr">
        <is>
          <t>Pendente</t>
        </is>
      </c>
      <c r="G233" s="45" t="n">
        <v>-168</v>
      </c>
      <c r="H233" s="43" t="n">
        <v>186</v>
      </c>
      <c r="I233" s="46">
        <f>IF(H233=0,DATE(2026,10,29),IF(H233=1,DATE(2026,10,30),DATE(2026,11,2)+7*INT((H233-2)/3)+CHOOSE(MOD(H233-2,3)+1,0,2,4)))</f>
        <v/>
      </c>
    </row>
    <row r="234" ht="15" customHeight="1" s="24">
      <c r="A234" s="43" t="n">
        <v>233</v>
      </c>
      <c r="B234" s="44" t="inlineStr">
        <is>
          <t>República romana (509–28 a.C.)</t>
        </is>
      </c>
      <c r="C234" s="45" t="inlineStr">
        <is>
          <t>167 a.C.</t>
        </is>
      </c>
      <c r="D234" s="44" t="inlineStr">
        <is>
          <t>Políbio e os reféns gregos</t>
        </is>
      </c>
      <c r="E234" s="44" t="inlineStr">
        <is>
          <t>A definir (Roma)</t>
        </is>
      </c>
      <c r="F234" s="45" t="inlineStr">
        <is>
          <t>Pendente</t>
        </is>
      </c>
      <c r="G234" s="45" t="n">
        <v>-167</v>
      </c>
      <c r="H234" s="43" t="n">
        <v>187</v>
      </c>
      <c r="I234" s="46">
        <f>IF(H234=0,DATE(2026,10,29),IF(H234=1,DATE(2026,10,30),DATE(2026,11,2)+7*INT((H234-2)/3)+CHOOSE(MOD(H234-2,3)+1,0,2,4)))</f>
        <v/>
      </c>
    </row>
    <row r="235" ht="15" customHeight="1" s="24">
      <c r="A235" s="43" t="n">
        <v>234</v>
      </c>
      <c r="B235" s="44" t="inlineStr">
        <is>
          <t>República romana (509–28 a.C.)</t>
        </is>
      </c>
      <c r="C235" s="45" t="inlineStr">
        <is>
          <t>161 a.C.</t>
        </is>
      </c>
      <c r="D235" s="44" t="inlineStr">
        <is>
          <t>A expulsão dos filósofos</t>
        </is>
      </c>
      <c r="E235" s="44" t="inlineStr">
        <is>
          <t>A definir (Roma)</t>
        </is>
      </c>
      <c r="F235" s="45" t="inlineStr">
        <is>
          <t>Pendente</t>
        </is>
      </c>
      <c r="G235" s="45" t="n">
        <v>-161</v>
      </c>
      <c r="H235" s="43" t="n">
        <v>188</v>
      </c>
      <c r="I235" s="46">
        <f>IF(H235=0,DATE(2026,10,29),IF(H235=1,DATE(2026,10,30),DATE(2026,11,2)+7*INT((H235-2)/3)+CHOOSE(MOD(H235-2,3)+1,0,2,4)))</f>
        <v/>
      </c>
    </row>
    <row r="236" ht="15" customHeight="1" s="24">
      <c r="A236" s="43" t="n">
        <v>235</v>
      </c>
      <c r="B236" s="44" t="inlineStr">
        <is>
          <t>República romana (509–28 a.C.)</t>
        </is>
      </c>
      <c r="C236" s="45" t="inlineStr">
        <is>
          <t>155 a.C.</t>
        </is>
      </c>
      <c r="D236" s="44" t="inlineStr">
        <is>
          <t>A embaixada filosófica de Carnéades</t>
        </is>
      </c>
      <c r="E236" s="44" t="inlineStr">
        <is>
          <t>A definir (Roma)</t>
        </is>
      </c>
      <c r="F236" s="45" t="inlineStr">
        <is>
          <t>Pendente</t>
        </is>
      </c>
      <c r="G236" s="45" t="n">
        <v>-155</v>
      </c>
      <c r="H236" s="43" t="n">
        <v>189</v>
      </c>
      <c r="I236" s="46">
        <f>IF(H236=0,DATE(2026,10,29),IF(H236=1,DATE(2026,10,30),DATE(2026,11,2)+7*INT((H236-2)/3)+CHOOSE(MOD(H236-2,3)+1,0,2,4)))</f>
        <v/>
      </c>
    </row>
    <row r="237" ht="15" customHeight="1" s="24">
      <c r="A237" s="43" t="n">
        <v>236</v>
      </c>
      <c r="B237" s="44" t="inlineStr">
        <is>
          <t>República romana (509–28 a.C.)</t>
        </is>
      </c>
      <c r="C237" s="45" t="inlineStr">
        <is>
          <t>149 a.C.</t>
        </is>
      </c>
      <c r="D237" s="44" t="inlineStr">
        <is>
          <t>A Terceira Guerra Púnica</t>
        </is>
      </c>
      <c r="E237" s="44" t="inlineStr">
        <is>
          <t>A definir (Roma)</t>
        </is>
      </c>
      <c r="F237" s="45" t="inlineStr">
        <is>
          <t>Pendente</t>
        </is>
      </c>
      <c r="G237" s="45" t="n">
        <v>-149</v>
      </c>
      <c r="H237" s="43" t="n">
        <v>190</v>
      </c>
      <c r="I237" s="46">
        <f>IF(H237=0,DATE(2026,10,29),IF(H237=1,DATE(2026,10,30),DATE(2026,11,2)+7*INT((H237-2)/3)+CHOOSE(MOD(H237-2,3)+1,0,2,4)))</f>
        <v/>
      </c>
    </row>
    <row r="238" ht="15" customHeight="1" s="24">
      <c r="A238" s="43" t="n">
        <v>237</v>
      </c>
      <c r="B238" s="44" t="inlineStr">
        <is>
          <t>República romana (509–28 a.C.)</t>
        </is>
      </c>
      <c r="C238" s="45" t="inlineStr">
        <is>
          <t>146 a.C.</t>
        </is>
      </c>
      <c r="D238" s="44" t="inlineStr">
        <is>
          <t>Cartago e Corinto caem</t>
        </is>
      </c>
      <c r="E238" s="44" t="inlineStr">
        <is>
          <t>A definir (Roma)</t>
        </is>
      </c>
      <c r="F238" s="45" t="inlineStr">
        <is>
          <t>Pendente</t>
        </is>
      </c>
      <c r="G238" s="45" t="n">
        <v>-146</v>
      </c>
      <c r="H238" s="43" t="n">
        <v>191</v>
      </c>
      <c r="I238" s="46">
        <f>IF(H238=0,DATE(2026,10,29),IF(H238=1,DATE(2026,10,30),DATE(2026,11,2)+7*INT((H238-2)/3)+CHOOSE(MOD(H238-2,3)+1,0,2,4)))</f>
        <v/>
      </c>
    </row>
    <row r="239" ht="15" customHeight="1" s="24">
      <c r="A239" s="43" t="n">
        <v>238</v>
      </c>
      <c r="B239" s="44" t="inlineStr">
        <is>
          <t>República romana (509–28 a.C.)</t>
        </is>
      </c>
      <c r="C239" s="45" t="inlineStr">
        <is>
          <t>142 a.C.</t>
        </is>
      </c>
      <c r="D239" s="44" t="inlineStr">
        <is>
          <t>O Pons Aemilius: a ponte de pedra</t>
        </is>
      </c>
      <c r="E239" s="44" t="inlineStr">
        <is>
          <t>Ponte Rotto, Roma</t>
        </is>
      </c>
      <c r="F239" s="45" t="inlineStr">
        <is>
          <t>Pendente</t>
        </is>
      </c>
      <c r="G239" s="45" t="n">
        <v>-142</v>
      </c>
      <c r="H239" s="43" t="n">
        <v>192</v>
      </c>
      <c r="I239" s="46">
        <f>IF(H239=0,DATE(2026,10,29),IF(H239=1,DATE(2026,10,30),DATE(2026,11,2)+7*INT((H239-2)/3)+CHOOSE(MOD(H239-2,3)+1,0,2,4)))</f>
        <v/>
      </c>
    </row>
    <row r="240" ht="15" customHeight="1" s="24">
      <c r="A240" s="43" t="n">
        <v>239</v>
      </c>
      <c r="B240" s="44" t="inlineStr">
        <is>
          <t>República romana (509–28 a.C.)</t>
        </is>
      </c>
      <c r="C240" s="45" t="inlineStr">
        <is>
          <t>139 a.C.</t>
        </is>
      </c>
      <c r="D240" s="44" t="inlineStr">
        <is>
          <t>A Lex Gabinia</t>
        </is>
      </c>
      <c r="E240" s="44" t="inlineStr">
        <is>
          <t>A definir (Roma)</t>
        </is>
      </c>
      <c r="F240" s="45" t="inlineStr">
        <is>
          <t>Pendente</t>
        </is>
      </c>
      <c r="G240" s="45" t="n">
        <v>-139</v>
      </c>
      <c r="H240" s="43" t="n">
        <v>193</v>
      </c>
      <c r="I240" s="46">
        <f>IF(H240=0,DATE(2026,10,29),IF(H240=1,DATE(2026,10,30),DATE(2026,11,2)+7*INT((H240-2)/3)+CHOOSE(MOD(H240-2,3)+1,0,2,4)))</f>
        <v/>
      </c>
    </row>
    <row r="241" ht="15" customHeight="1" s="24">
      <c r="A241" s="43" t="n">
        <v>240</v>
      </c>
      <c r="B241" s="44" t="inlineStr">
        <is>
          <t>República romana (509–28 a.C.)</t>
        </is>
      </c>
      <c r="C241" s="45" t="inlineStr">
        <is>
          <t>136 a.C.</t>
        </is>
      </c>
      <c r="D241" s="44" t="inlineStr">
        <is>
          <t>A primeira guerra servil na Sicília</t>
        </is>
      </c>
      <c r="E241" s="44" t="inlineStr">
        <is>
          <t>Enna</t>
        </is>
      </c>
      <c r="F241" s="45" t="inlineStr">
        <is>
          <t>Pendente</t>
        </is>
      </c>
      <c r="G241" s="45" t="n">
        <v>-136</v>
      </c>
      <c r="H241" s="43" t="n">
        <v>194</v>
      </c>
      <c r="I241" s="46">
        <f>IF(H241=0,DATE(2026,10,29),IF(H241=1,DATE(2026,10,30),DATE(2026,11,2)+7*INT((H241-2)/3)+CHOOSE(MOD(H241-2,3)+1,0,2,4)))</f>
        <v/>
      </c>
    </row>
    <row r="242" ht="15" customHeight="1" s="24">
      <c r="A242" s="43" t="n">
        <v>241</v>
      </c>
      <c r="B242" s="44" t="inlineStr">
        <is>
          <t>República romana (509–28 a.C.)</t>
        </is>
      </c>
      <c r="C242" s="45" t="inlineStr">
        <is>
          <t>133 a.C.</t>
        </is>
      </c>
      <c r="D242" s="44" t="inlineStr">
        <is>
          <t>Tibério Graco e a reforma agrária</t>
        </is>
      </c>
      <c r="E242" s="44" t="inlineStr">
        <is>
          <t>Fórum Romano, Roma</t>
        </is>
      </c>
      <c r="F242" s="45" t="inlineStr">
        <is>
          <t>Pendente</t>
        </is>
      </c>
      <c r="G242" s="45" t="n">
        <v>-133</v>
      </c>
      <c r="H242" s="43" t="n">
        <v>195</v>
      </c>
      <c r="I242" s="46">
        <f>IF(H242=0,DATE(2026,10,29),IF(H242=1,DATE(2026,10,30),DATE(2026,11,2)+7*INT((H242-2)/3)+CHOOSE(MOD(H242-2,3)+1,0,2,4)))</f>
        <v/>
      </c>
    </row>
    <row r="243" ht="15" customHeight="1" s="24">
      <c r="A243" s="43" t="n">
        <v>242</v>
      </c>
      <c r="B243" s="44" t="inlineStr">
        <is>
          <t>República romana (509–28 a.C.)</t>
        </is>
      </c>
      <c r="C243" s="45" t="inlineStr">
        <is>
          <t>133 a.C.</t>
        </is>
      </c>
      <c r="D243" s="44" t="inlineStr">
        <is>
          <t>A morte de Tibério Graco</t>
        </is>
      </c>
      <c r="E243" s="44" t="inlineStr">
        <is>
          <t>Fórum Romano, Roma</t>
        </is>
      </c>
      <c r="F243" s="45" t="inlineStr">
        <is>
          <t>Pendente</t>
        </is>
      </c>
      <c r="G243" s="45" t="n">
        <v>-133</v>
      </c>
      <c r="H243" s="43" t="n">
        <v>196</v>
      </c>
      <c r="I243" s="46">
        <f>IF(H243=0,DATE(2026,10,29),IF(H243=1,DATE(2026,10,30),DATE(2026,11,2)+7*INT((H243-2)/3)+CHOOSE(MOD(H243-2,3)+1,0,2,4)))</f>
        <v/>
      </c>
    </row>
    <row r="244" ht="15" customHeight="1" s="24">
      <c r="A244" s="43" t="n">
        <v>243</v>
      </c>
      <c r="B244" s="44" t="inlineStr">
        <is>
          <t>República romana (509–28 a.C.)</t>
        </is>
      </c>
      <c r="C244" s="45" t="inlineStr">
        <is>
          <t>125 a.C.</t>
        </is>
      </c>
      <c r="D244" s="44" t="inlineStr">
        <is>
          <t>Fúlvio Flaco e a cidadania aos aliados</t>
        </is>
      </c>
      <c r="E244" s="44" t="inlineStr">
        <is>
          <t>A definir (Roma)</t>
        </is>
      </c>
      <c r="F244" s="45" t="inlineStr">
        <is>
          <t>Pendente</t>
        </is>
      </c>
      <c r="G244" s="45" t="n">
        <v>-125</v>
      </c>
      <c r="H244" s="43" t="n">
        <v>197</v>
      </c>
      <c r="I244" s="46">
        <f>IF(H244=0,DATE(2026,10,29),IF(H244=1,DATE(2026,10,30),DATE(2026,11,2)+7*INT((H244-2)/3)+CHOOSE(MOD(H244-2,3)+1,0,2,4)))</f>
        <v/>
      </c>
    </row>
    <row r="245" ht="15" customHeight="1" s="24">
      <c r="A245" s="43" t="n">
        <v>244</v>
      </c>
      <c r="B245" s="44" t="inlineStr">
        <is>
          <t>República romana (509–28 a.C.)</t>
        </is>
      </c>
      <c r="C245" s="45" t="inlineStr">
        <is>
          <t>123 a.C.</t>
        </is>
      </c>
      <c r="D245" s="44" t="inlineStr">
        <is>
          <t>Caio Graco: tribuno e reformador</t>
        </is>
      </c>
      <c r="E245" s="44" t="inlineStr">
        <is>
          <t>Fórum Romano, Roma</t>
        </is>
      </c>
      <c r="F245" s="45" t="inlineStr">
        <is>
          <t>Pendente</t>
        </is>
      </c>
      <c r="G245" s="45" t="n">
        <v>-123</v>
      </c>
      <c r="H245" s="43" t="n">
        <v>198</v>
      </c>
      <c r="I245" s="46">
        <f>IF(H245=0,DATE(2026,10,29),IF(H245=1,DATE(2026,10,30),DATE(2026,11,2)+7*INT((H245-2)/3)+CHOOSE(MOD(H245-2,3)+1,0,2,4)))</f>
        <v/>
      </c>
    </row>
    <row r="246" ht="15" customHeight="1" s="24">
      <c r="A246" s="43" t="n">
        <v>245</v>
      </c>
      <c r="B246" s="44" t="inlineStr">
        <is>
          <t>República romana (509–28 a.C.)</t>
        </is>
      </c>
      <c r="C246" s="45" t="inlineStr">
        <is>
          <t>122 a.C.</t>
        </is>
      </c>
      <c r="D246" s="44" t="inlineStr">
        <is>
          <t>Caio Graco e as colônias</t>
        </is>
      </c>
      <c r="E246" s="44" t="inlineStr">
        <is>
          <t>A definir (Roma)</t>
        </is>
      </c>
      <c r="F246" s="45" t="inlineStr">
        <is>
          <t>Pendente</t>
        </is>
      </c>
      <c r="G246" s="45" t="n">
        <v>-122</v>
      </c>
      <c r="H246" s="43" t="n">
        <v>199</v>
      </c>
      <c r="I246" s="46">
        <f>IF(H246=0,DATE(2026,10,29),IF(H246=1,DATE(2026,10,30),DATE(2026,11,2)+7*INT((H246-2)/3)+CHOOSE(MOD(H246-2,3)+1,0,2,4)))</f>
        <v/>
      </c>
    </row>
    <row r="247" ht="15" customHeight="1" s="24">
      <c r="A247" s="43" t="n">
        <v>246</v>
      </c>
      <c r="B247" s="44" t="inlineStr">
        <is>
          <t>República romana (509–28 a.C.)</t>
        </is>
      </c>
      <c r="C247" s="45" t="inlineStr">
        <is>
          <t>121 a.C.</t>
        </is>
      </c>
      <c r="D247" s="44" t="inlineStr">
        <is>
          <t>A morte de Caio Graco</t>
        </is>
      </c>
      <c r="E247" s="44" t="inlineStr">
        <is>
          <t>Aventino, Roma</t>
        </is>
      </c>
      <c r="F247" s="45" t="inlineStr">
        <is>
          <t>Pendente</t>
        </is>
      </c>
      <c r="G247" s="45" t="n">
        <v>-121</v>
      </c>
      <c r="H247" s="43" t="n">
        <v>200</v>
      </c>
      <c r="I247" s="46">
        <f>IF(H247=0,DATE(2026,10,29),IF(H247=1,DATE(2026,10,30),DATE(2026,11,2)+7*INT((H247-2)/3)+CHOOSE(MOD(H247-2,3)+1,0,2,4)))</f>
        <v/>
      </c>
    </row>
    <row r="248" ht="15" customHeight="1" s="24">
      <c r="A248" s="43" t="n">
        <v>247</v>
      </c>
      <c r="B248" s="44" t="inlineStr">
        <is>
          <t>República romana (509–28 a.C.)</t>
        </is>
      </c>
      <c r="C248" s="45" t="inlineStr">
        <is>
          <t>118 a.C.</t>
        </is>
      </c>
      <c r="D248" s="44" t="inlineStr">
        <is>
          <t>A Narbo Martius</t>
        </is>
      </c>
      <c r="E248" s="44" t="inlineStr">
        <is>
          <t>A definir (Roma)</t>
        </is>
      </c>
      <c r="F248" s="45" t="inlineStr">
        <is>
          <t>Pendente</t>
        </is>
      </c>
      <c r="G248" s="45" t="n">
        <v>-118</v>
      </c>
      <c r="H248" s="43" t="n">
        <v>201</v>
      </c>
      <c r="I248" s="46">
        <f>IF(H248=0,DATE(2026,10,29),IF(H248=1,DATE(2026,10,30),DATE(2026,11,2)+7*INT((H248-2)/3)+CHOOSE(MOD(H248-2,3)+1,0,2,4)))</f>
        <v/>
      </c>
    </row>
    <row r="249" ht="15" customHeight="1" s="24">
      <c r="A249" s="43" t="n">
        <v>248</v>
      </c>
      <c r="B249" s="44" t="inlineStr">
        <is>
          <t>República romana (509–28 a.C.)</t>
        </is>
      </c>
      <c r="C249" s="45" t="inlineStr">
        <is>
          <t>112 a.C.</t>
        </is>
      </c>
      <c r="D249" s="44" t="inlineStr">
        <is>
          <t>A Guerra de Jugurta</t>
        </is>
      </c>
      <c r="E249" s="44" t="inlineStr">
        <is>
          <t>A definir (Roma)</t>
        </is>
      </c>
      <c r="F249" s="45" t="inlineStr">
        <is>
          <t>Pendente</t>
        </is>
      </c>
      <c r="G249" s="45" t="n">
        <v>-112</v>
      </c>
      <c r="H249" s="43" t="n">
        <v>202</v>
      </c>
      <c r="I249" s="46">
        <f>IF(H249=0,DATE(2026,10,29),IF(H249=1,DATE(2026,10,30),DATE(2026,11,2)+7*INT((H249-2)/3)+CHOOSE(MOD(H249-2,3)+1,0,2,4)))</f>
        <v/>
      </c>
    </row>
    <row r="250" ht="15" customHeight="1" s="24">
      <c r="A250" s="43" t="n">
        <v>249</v>
      </c>
      <c r="B250" s="44" t="inlineStr">
        <is>
          <t>República romana (509–28 a.C.)</t>
        </is>
      </c>
      <c r="C250" s="45" t="inlineStr">
        <is>
          <t>107 a.C.</t>
        </is>
      </c>
      <c r="D250" s="44" t="inlineStr">
        <is>
          <t>Mário e a reforma do exército</t>
        </is>
      </c>
      <c r="E250" s="44" t="inlineStr">
        <is>
          <t>A definir (Roma)</t>
        </is>
      </c>
      <c r="F250" s="45" t="inlineStr">
        <is>
          <t>Pendente</t>
        </is>
      </c>
      <c r="G250" s="45" t="n">
        <v>-107</v>
      </c>
      <c r="H250" s="43" t="n">
        <v>203</v>
      </c>
      <c r="I250" s="46">
        <f>IF(H250=0,DATE(2026,10,29),IF(H250=1,DATE(2026,10,30),DATE(2026,11,2)+7*INT((H250-2)/3)+CHOOSE(MOD(H250-2,3)+1,0,2,4)))</f>
        <v/>
      </c>
    </row>
    <row r="251" ht="15" customHeight="1" s="24">
      <c r="A251" s="43" t="n">
        <v>250</v>
      </c>
      <c r="B251" s="44" t="inlineStr">
        <is>
          <t>República romana (509–28 a.C.)</t>
        </is>
      </c>
      <c r="C251" s="45" t="inlineStr">
        <is>
          <t>105 a.C.</t>
        </is>
      </c>
      <c r="D251" s="44" t="inlineStr">
        <is>
          <t>O desastre de Arausio</t>
        </is>
      </c>
      <c r="E251" s="44" t="inlineStr">
        <is>
          <t>A definir (Roma)</t>
        </is>
      </c>
      <c r="F251" s="45" t="inlineStr">
        <is>
          <t>Pendente</t>
        </is>
      </c>
      <c r="G251" s="45" t="n">
        <v>-105</v>
      </c>
      <c r="H251" s="43" t="n">
        <v>204</v>
      </c>
      <c r="I251" s="46">
        <f>IF(H251=0,DATE(2026,10,29),IF(H251=1,DATE(2026,10,30),DATE(2026,11,2)+7*INT((H251-2)/3)+CHOOSE(MOD(H251-2,3)+1,0,2,4)))</f>
        <v/>
      </c>
    </row>
    <row r="252" ht="15" customHeight="1" s="24">
      <c r="A252" s="43" t="n">
        <v>251</v>
      </c>
      <c r="B252" s="44" t="inlineStr">
        <is>
          <t>República romana (509–28 a.C.)</t>
        </is>
      </c>
      <c r="C252" s="45" t="inlineStr">
        <is>
          <t>102 a.C.</t>
        </is>
      </c>
      <c r="D252" s="44" t="inlineStr">
        <is>
          <t>Aquae Sextiae: Roma contra os teutões</t>
        </is>
      </c>
      <c r="E252" s="44" t="inlineStr">
        <is>
          <t>A definir (Roma)</t>
        </is>
      </c>
      <c r="F252" s="45" t="inlineStr">
        <is>
          <t>Pendente</t>
        </is>
      </c>
      <c r="G252" s="45" t="n">
        <v>-102</v>
      </c>
      <c r="H252" s="43" t="n">
        <v>205</v>
      </c>
      <c r="I252" s="46">
        <f>IF(H252=0,DATE(2026,10,29),IF(H252=1,DATE(2026,10,30),DATE(2026,11,2)+7*INT((H252-2)/3)+CHOOSE(MOD(H252-2,3)+1,0,2,4)))</f>
        <v/>
      </c>
    </row>
    <row r="253" ht="15" customHeight="1" s="24">
      <c r="A253" s="43" t="n">
        <v>252</v>
      </c>
      <c r="B253" s="44" t="inlineStr">
        <is>
          <t>República romana (509–28 a.C.)</t>
        </is>
      </c>
      <c r="C253" s="45" t="inlineStr">
        <is>
          <t>101 a.C.</t>
        </is>
      </c>
      <c r="D253" s="44" t="inlineStr">
        <is>
          <t>Vercelas: Roma contra os cimbros</t>
        </is>
      </c>
      <c r="E253" s="44" t="inlineStr">
        <is>
          <t>Vercelli</t>
        </is>
      </c>
      <c r="F253" s="45" t="inlineStr">
        <is>
          <t>Pendente</t>
        </is>
      </c>
      <c r="G253" s="45" t="n">
        <v>-101</v>
      </c>
      <c r="H253" s="43" t="n">
        <v>206</v>
      </c>
      <c r="I253" s="46">
        <f>IF(H253=0,DATE(2026,10,29),IF(H253=1,DATE(2026,10,30),DATE(2026,11,2)+7*INT((H253-2)/3)+CHOOSE(MOD(H253-2,3)+1,0,2,4)))</f>
        <v/>
      </c>
    </row>
    <row r="254" ht="15" customHeight="1" s="24">
      <c r="A254" s="43" t="n">
        <v>253</v>
      </c>
      <c r="B254" s="44" t="inlineStr">
        <is>
          <t>República romana (509–28 a.C.)</t>
        </is>
      </c>
      <c r="C254" s="45" t="inlineStr">
        <is>
          <t>100 a.C.</t>
        </is>
      </c>
      <c r="D254" s="44" t="inlineStr">
        <is>
          <t>Saturnino e o ocaso dos Gracos</t>
        </is>
      </c>
      <c r="E254" s="44" t="inlineStr">
        <is>
          <t>Fórum Romano, Roma</t>
        </is>
      </c>
      <c r="F254" s="45" t="inlineStr">
        <is>
          <t>Pendente</t>
        </is>
      </c>
      <c r="G254" s="45" t="n">
        <v>-100</v>
      </c>
      <c r="H254" s="43" t="n">
        <v>207</v>
      </c>
      <c r="I254" s="46">
        <f>IF(H254=0,DATE(2026,10,29),IF(H254=1,DATE(2026,10,30),DATE(2026,11,2)+7*INT((H254-2)/3)+CHOOSE(MOD(H254-2,3)+1,0,2,4)))</f>
        <v/>
      </c>
    </row>
    <row r="255" ht="15" customHeight="1" s="24">
      <c r="A255" s="43" t="n">
        <v>254</v>
      </c>
      <c r="B255" s="44" t="inlineStr">
        <is>
          <t>República romana (509–28 a.C.)</t>
        </is>
      </c>
      <c r="C255" s="45" t="inlineStr">
        <is>
          <t>91 a.C.</t>
        </is>
      </c>
      <c r="D255" s="44" t="inlineStr">
        <is>
          <t>Lívio Druso e a questão dos aliados</t>
        </is>
      </c>
      <c r="E255" s="44" t="inlineStr">
        <is>
          <t>A definir (Roma)</t>
        </is>
      </c>
      <c r="F255" s="45" t="inlineStr">
        <is>
          <t>Pendente</t>
        </is>
      </c>
      <c r="G255" s="45" t="n">
        <v>-91</v>
      </c>
      <c r="H255" s="43" t="n">
        <v>208</v>
      </c>
      <c r="I255" s="46">
        <f>IF(H255=0,DATE(2026,10,29),IF(H255=1,DATE(2026,10,30),DATE(2026,11,2)+7*INT((H255-2)/3)+CHOOSE(MOD(H255-2,3)+1,0,2,4)))</f>
        <v/>
      </c>
    </row>
    <row r="256" ht="15" customHeight="1" s="24">
      <c r="A256" s="43" t="n">
        <v>255</v>
      </c>
      <c r="B256" s="44" t="inlineStr">
        <is>
          <t>República romana (509–28 a.C.)</t>
        </is>
      </c>
      <c r="C256" s="45" t="inlineStr">
        <is>
          <t>90 a.C.</t>
        </is>
      </c>
      <c r="D256" s="44" t="inlineStr">
        <is>
          <t>A Guerra Social: Roma contra seus aliados</t>
        </is>
      </c>
      <c r="E256" s="44" t="inlineStr">
        <is>
          <t>Ásculo Piceno</t>
        </is>
      </c>
      <c r="F256" s="45" t="inlineStr">
        <is>
          <t>Pendente</t>
        </is>
      </c>
      <c r="G256" s="45" t="n">
        <v>-90</v>
      </c>
      <c r="H256" s="43" t="n">
        <v>209</v>
      </c>
      <c r="I256" s="46">
        <f>IF(H256=0,DATE(2026,10,29),IF(H256=1,DATE(2026,10,30),DATE(2026,11,2)+7*INT((H256-2)/3)+CHOOSE(MOD(H256-2,3)+1,0,2,4)))</f>
        <v/>
      </c>
    </row>
    <row r="257" ht="15" customHeight="1" s="24">
      <c r="A257" s="43" t="n">
        <v>256</v>
      </c>
      <c r="B257" s="44" t="inlineStr">
        <is>
          <t>República romana (509–28 a.C.)</t>
        </is>
      </c>
      <c r="C257" s="45" t="inlineStr">
        <is>
          <t>89 a.C.</t>
        </is>
      </c>
      <c r="D257" s="44" t="inlineStr">
        <is>
          <t>A Lex Julia: a cidadania aos itálicos</t>
        </is>
      </c>
      <c r="E257" s="44" t="inlineStr">
        <is>
          <t>A definir (Roma)</t>
        </is>
      </c>
      <c r="F257" s="45" t="inlineStr">
        <is>
          <t>Pendente</t>
        </is>
      </c>
      <c r="G257" s="45" t="n">
        <v>-89</v>
      </c>
      <c r="H257" s="43" t="n">
        <v>210</v>
      </c>
      <c r="I257" s="46">
        <f>IF(H257=0,DATE(2026,10,29),IF(H257=1,DATE(2026,10,30),DATE(2026,11,2)+7*INT((H257-2)/3)+CHOOSE(MOD(H257-2,3)+1,0,2,4)))</f>
        <v/>
      </c>
    </row>
    <row r="258" ht="15" customHeight="1" s="24">
      <c r="A258" s="43" t="n">
        <v>257</v>
      </c>
      <c r="B258" s="44" t="inlineStr">
        <is>
          <t>República romana (509–28 a.C.)</t>
        </is>
      </c>
      <c r="C258" s="45" t="inlineStr">
        <is>
          <t>88 a.C.</t>
        </is>
      </c>
      <c r="D258" s="44" t="inlineStr">
        <is>
          <t>Sula marcha sobre Roma</t>
        </is>
      </c>
      <c r="E258" s="44" t="inlineStr">
        <is>
          <t>A definir (Roma)</t>
        </is>
      </c>
      <c r="F258" s="45" t="inlineStr">
        <is>
          <t>Pendente</t>
        </is>
      </c>
      <c r="G258" s="45" t="n">
        <v>-88</v>
      </c>
      <c r="H258" s="43" t="n">
        <v>211</v>
      </c>
      <c r="I258" s="46">
        <f>IF(H258=0,DATE(2026,10,29),IF(H258=1,DATE(2026,10,30),DATE(2026,11,2)+7*INT((H258-2)/3)+CHOOSE(MOD(H258-2,3)+1,0,2,4)))</f>
        <v/>
      </c>
    </row>
    <row r="259" ht="15" customHeight="1" s="24">
      <c r="A259" s="43" t="n">
        <v>258</v>
      </c>
      <c r="B259" s="44" t="inlineStr">
        <is>
          <t>República romana (509–28 a.C.)</t>
        </is>
      </c>
      <c r="C259" s="45" t="inlineStr">
        <is>
          <t>87 a.C.</t>
        </is>
      </c>
      <c r="D259" s="44" t="inlineStr">
        <is>
          <t>Mário e Cina retomam Roma</t>
        </is>
      </c>
      <c r="E259" s="44" t="inlineStr">
        <is>
          <t>A definir (Roma)</t>
        </is>
      </c>
      <c r="F259" s="45" t="inlineStr">
        <is>
          <t>Pendente</t>
        </is>
      </c>
      <c r="G259" s="45" t="n">
        <v>-87</v>
      </c>
      <c r="H259" s="43" t="n">
        <v>212</v>
      </c>
      <c r="I259" s="46">
        <f>IF(H259=0,DATE(2026,10,29),IF(H259=1,DATE(2026,10,30),DATE(2026,11,2)+7*INT((H259-2)/3)+CHOOSE(MOD(H259-2,3)+1,0,2,4)))</f>
        <v/>
      </c>
    </row>
    <row r="260" ht="15" customHeight="1" s="24">
      <c r="A260" s="43" t="n">
        <v>259</v>
      </c>
      <c r="B260" s="44" t="inlineStr">
        <is>
          <t>República romana (509–28 a.C.)</t>
        </is>
      </c>
      <c r="C260" s="45" t="inlineStr">
        <is>
          <t>86 a.C.</t>
        </is>
      </c>
      <c r="D260" s="44" t="inlineStr">
        <is>
          <t>A morte de Mário</t>
        </is>
      </c>
      <c r="E260" s="44" t="inlineStr">
        <is>
          <t>A definir (Roma)</t>
        </is>
      </c>
      <c r="F260" s="45" t="inlineStr">
        <is>
          <t>Pendente</t>
        </is>
      </c>
      <c r="G260" s="45" t="n">
        <v>-86</v>
      </c>
      <c r="H260" s="43" t="n">
        <v>213</v>
      </c>
      <c r="I260" s="46">
        <f>IF(H260=0,DATE(2026,10,29),IF(H260=1,DATE(2026,10,30),DATE(2026,11,2)+7*INT((H260-2)/3)+CHOOSE(MOD(H260-2,3)+1,0,2,4)))</f>
        <v/>
      </c>
    </row>
    <row r="261" ht="15" customHeight="1" s="24">
      <c r="A261" s="43" t="n">
        <v>260</v>
      </c>
      <c r="B261" s="44" t="inlineStr">
        <is>
          <t>República romana (509–28 a.C.)</t>
        </is>
      </c>
      <c r="C261" s="45" t="inlineStr">
        <is>
          <t>85 a.C.</t>
        </is>
      </c>
      <c r="D261" s="44" t="inlineStr">
        <is>
          <t>Sula e a Grécia</t>
        </is>
      </c>
      <c r="E261" s="44" t="inlineStr">
        <is>
          <t>A definir (Roma)</t>
        </is>
      </c>
      <c r="F261" s="45" t="inlineStr">
        <is>
          <t>Pendente</t>
        </is>
      </c>
      <c r="G261" s="45" t="n">
        <v>-85</v>
      </c>
      <c r="H261" s="43" t="n">
        <v>214</v>
      </c>
      <c r="I261" s="46">
        <f>IF(H261=0,DATE(2026,10,29),IF(H261=1,DATE(2026,10,30),DATE(2026,11,2)+7*INT((H261-2)/3)+CHOOSE(MOD(H261-2,3)+1,0,2,4)))</f>
        <v/>
      </c>
    </row>
    <row r="262" ht="15" customHeight="1" s="24">
      <c r="A262" s="43" t="n">
        <v>261</v>
      </c>
      <c r="B262" s="44" t="inlineStr">
        <is>
          <t>República romana (509–28 a.C.)</t>
        </is>
      </c>
      <c r="C262" s="45" t="inlineStr">
        <is>
          <t>82 a.C.</t>
        </is>
      </c>
      <c r="D262" s="44" t="inlineStr">
        <is>
          <t>Sula, ditador vitalício</t>
        </is>
      </c>
      <c r="E262" s="44" t="inlineStr">
        <is>
          <t>Fórum Romano, Roma</t>
        </is>
      </c>
      <c r="F262" s="45" t="inlineStr">
        <is>
          <t>Pendente</t>
        </is>
      </c>
      <c r="G262" s="45" t="n">
        <v>-82</v>
      </c>
      <c r="H262" s="43" t="n">
        <v>215</v>
      </c>
      <c r="I262" s="46">
        <f>IF(H262=0,DATE(2026,10,29),IF(H262=1,DATE(2026,10,30),DATE(2026,11,2)+7*INT((H262-2)/3)+CHOOSE(MOD(H262-2,3)+1,0,2,4)))</f>
        <v/>
      </c>
    </row>
    <row r="263" ht="15" customHeight="1" s="24">
      <c r="A263" s="43" t="n">
        <v>262</v>
      </c>
      <c r="B263" s="44" t="inlineStr">
        <is>
          <t>República romana (509–28 a.C.)</t>
        </is>
      </c>
      <c r="C263" s="45" t="inlineStr">
        <is>
          <t>82 a.C.</t>
        </is>
      </c>
      <c r="D263" s="44" t="inlineStr">
        <is>
          <t>As proscrições de Sula</t>
        </is>
      </c>
      <c r="E263" s="44" t="inlineStr">
        <is>
          <t>Fórum Romano, Roma</t>
        </is>
      </c>
      <c r="F263" s="45" t="inlineStr">
        <is>
          <t>Pendente</t>
        </is>
      </c>
      <c r="G263" s="45" t="n">
        <v>-82</v>
      </c>
      <c r="H263" s="43" t="n">
        <v>216</v>
      </c>
      <c r="I263" s="46">
        <f>IF(H263=0,DATE(2026,10,29),IF(H263=1,DATE(2026,10,30),DATE(2026,11,2)+7*INT((H263-2)/3)+CHOOSE(MOD(H263-2,3)+1,0,2,4)))</f>
        <v/>
      </c>
    </row>
    <row r="264" ht="15" customHeight="1" s="24">
      <c r="A264" s="43" t="n">
        <v>263</v>
      </c>
      <c r="B264" s="44" t="inlineStr">
        <is>
          <t>República romana (509–28 a.C.)</t>
        </is>
      </c>
      <c r="C264" s="45" t="inlineStr">
        <is>
          <t>80 a.C.</t>
        </is>
      </c>
      <c r="D264" s="44" t="inlineStr">
        <is>
          <t>O Tabularium</t>
        </is>
      </c>
      <c r="E264" s="44" t="inlineStr">
        <is>
          <t>Tabularium, Roma</t>
        </is>
      </c>
      <c r="F264" s="45" t="inlineStr">
        <is>
          <t>Pendente</t>
        </is>
      </c>
      <c r="G264" s="45" t="n">
        <v>-80</v>
      </c>
      <c r="H264" s="43" t="n">
        <v>217</v>
      </c>
      <c r="I264" s="46">
        <f>IF(H264=0,DATE(2026,10,29),IF(H264=1,DATE(2026,10,30),DATE(2026,11,2)+7*INT((H264-2)/3)+CHOOSE(MOD(H264-2,3)+1,0,2,4)))</f>
        <v/>
      </c>
    </row>
    <row r="265" ht="15" customHeight="1" s="24">
      <c r="A265" s="43" t="n">
        <v>264</v>
      </c>
      <c r="B265" s="44" t="inlineStr">
        <is>
          <t>República romana (509–28 a.C.)</t>
        </is>
      </c>
      <c r="C265" s="45" t="inlineStr">
        <is>
          <t>79 a.C.</t>
        </is>
      </c>
      <c r="D265" s="44" t="inlineStr">
        <is>
          <t>A abdicação de Sula</t>
        </is>
      </c>
      <c r="E265" s="44" t="inlineStr">
        <is>
          <t>A definir (Roma)</t>
        </is>
      </c>
      <c r="F265" s="45" t="inlineStr">
        <is>
          <t>Pendente</t>
        </is>
      </c>
      <c r="G265" s="45" t="n">
        <v>-79</v>
      </c>
      <c r="H265" s="43" t="n">
        <v>218</v>
      </c>
      <c r="I265" s="46">
        <f>IF(H265=0,DATE(2026,10,29),IF(H265=1,DATE(2026,10,30),DATE(2026,11,2)+7*INT((H265-2)/3)+CHOOSE(MOD(H265-2,3)+1,0,2,4)))</f>
        <v/>
      </c>
    </row>
    <row r="266" ht="15" customHeight="1" s="24">
      <c r="A266" s="43" t="n">
        <v>265</v>
      </c>
      <c r="B266" s="44" t="inlineStr">
        <is>
          <t>República romana (509–28 a.C.)</t>
        </is>
      </c>
      <c r="C266" s="45" t="inlineStr">
        <is>
          <t>78 a.C.</t>
        </is>
      </c>
      <c r="D266" s="44" t="inlineStr">
        <is>
          <t>A morte de Sula</t>
        </is>
      </c>
      <c r="E266" s="44" t="inlineStr">
        <is>
          <t>Campo de Marte, Roma</t>
        </is>
      </c>
      <c r="F266" s="45" t="inlineStr">
        <is>
          <t>Pendente</t>
        </is>
      </c>
      <c r="G266" s="45" t="n">
        <v>-78</v>
      </c>
      <c r="H266" s="43" t="n">
        <v>219</v>
      </c>
      <c r="I266" s="46">
        <f>IF(H266=0,DATE(2026,10,29),IF(H266=1,DATE(2026,10,30),DATE(2026,11,2)+7*INT((H266-2)/3)+CHOOSE(MOD(H266-2,3)+1,0,2,4)))</f>
        <v/>
      </c>
    </row>
    <row r="267" ht="15" customHeight="1" s="24">
      <c r="A267" s="43" t="n">
        <v>266</v>
      </c>
      <c r="B267" s="44" t="inlineStr">
        <is>
          <t>República romana (509–28 a.C.)</t>
        </is>
      </c>
      <c r="C267" s="45" t="inlineStr">
        <is>
          <t>73 a.C.</t>
        </is>
      </c>
      <c r="D267" s="44" t="inlineStr">
        <is>
          <t>Espártaco e a revolta dos gladiadores</t>
        </is>
      </c>
      <c r="E267" s="44" t="inlineStr">
        <is>
          <t>Cápua</t>
        </is>
      </c>
      <c r="F267" s="45" t="inlineStr">
        <is>
          <t>Pendente</t>
        </is>
      </c>
      <c r="G267" s="45" t="n">
        <v>-73</v>
      </c>
      <c r="H267" s="43" t="n">
        <v>220</v>
      </c>
      <c r="I267" s="46">
        <f>IF(H267=0,DATE(2026,10,29),IF(H267=1,DATE(2026,10,30),DATE(2026,11,2)+7*INT((H267-2)/3)+CHOOSE(MOD(H267-2,3)+1,0,2,4)))</f>
        <v/>
      </c>
    </row>
    <row r="268" ht="15" customHeight="1" s="24">
      <c r="A268" s="43" t="n">
        <v>267</v>
      </c>
      <c r="B268" s="44" t="inlineStr">
        <is>
          <t>República romana (509–28 a.C.)</t>
        </is>
      </c>
      <c r="C268" s="45" t="inlineStr">
        <is>
          <t>71 a.C.</t>
        </is>
      </c>
      <c r="D268" s="44" t="inlineStr">
        <is>
          <t>Espártaco e a Via Ápia</t>
        </is>
      </c>
      <c r="E268" s="44" t="inlineStr">
        <is>
          <t>Via Ápia Antiga, Roma</t>
        </is>
      </c>
      <c r="F268" s="45" t="inlineStr">
        <is>
          <t>Pendente</t>
        </is>
      </c>
      <c r="G268" s="45" t="n">
        <v>-71</v>
      </c>
      <c r="H268" s="43" t="n">
        <v>221</v>
      </c>
      <c r="I268" s="46">
        <f>IF(H268=0,DATE(2026,10,29),IF(H268=1,DATE(2026,10,30),DATE(2026,11,2)+7*INT((H268-2)/3)+CHOOSE(MOD(H268-2,3)+1,0,2,4)))</f>
        <v/>
      </c>
    </row>
    <row r="269" ht="15" customHeight="1" s="24">
      <c r="A269" s="43" t="n">
        <v>268</v>
      </c>
      <c r="B269" s="44" t="inlineStr">
        <is>
          <t>República romana (509–28 a.C.)</t>
        </is>
      </c>
      <c r="C269" s="45" t="inlineStr">
        <is>
          <t>70 a.C.</t>
        </is>
      </c>
      <c r="D269" s="44" t="inlineStr">
        <is>
          <t>Crasso e Pompeu: o consulado conjunto</t>
        </is>
      </c>
      <c r="E269" s="44" t="inlineStr">
        <is>
          <t>A definir (Roma)</t>
        </is>
      </c>
      <c r="F269" s="45" t="inlineStr">
        <is>
          <t>Pendente</t>
        </is>
      </c>
      <c r="G269" s="45" t="n">
        <v>-70</v>
      </c>
      <c r="H269" s="43" t="n">
        <v>222</v>
      </c>
      <c r="I269" s="46">
        <f>IF(H269=0,DATE(2026,10,29),IF(H269=1,DATE(2026,10,30),DATE(2026,11,2)+7*INT((H269-2)/3)+CHOOSE(MOD(H269-2,3)+1,0,2,4)))</f>
        <v/>
      </c>
    </row>
    <row r="270" ht="15" customHeight="1" s="24">
      <c r="A270" s="43" t="n">
        <v>269</v>
      </c>
      <c r="B270" s="44" t="inlineStr">
        <is>
          <t>República romana (509–28 a.C.)</t>
        </is>
      </c>
      <c r="C270" s="45" t="inlineStr">
        <is>
          <t>70 a.C.</t>
        </is>
      </c>
      <c r="D270" s="44" t="inlineStr">
        <is>
          <t>Cícero e o caso Verres</t>
        </is>
      </c>
      <c r="E270" s="44" t="inlineStr">
        <is>
          <t>Fórum Romano, Roma</t>
        </is>
      </c>
      <c r="F270" s="45" t="inlineStr">
        <is>
          <t>Pendente</t>
        </is>
      </c>
      <c r="G270" s="45" t="n">
        <v>-70</v>
      </c>
      <c r="H270" s="43" t="n">
        <v>223</v>
      </c>
      <c r="I270" s="46">
        <f>IF(H270=0,DATE(2026,10,29),IF(H270=1,DATE(2026,10,30),DATE(2026,11,2)+7*INT((H270-2)/3)+CHOOSE(MOD(H270-2,3)+1,0,2,4)))</f>
        <v/>
      </c>
    </row>
    <row r="271" ht="15" customHeight="1" s="24">
      <c r="A271" s="43" t="n">
        <v>270</v>
      </c>
      <c r="B271" s="44" t="inlineStr">
        <is>
          <t>República romana (509–28 a.C.)</t>
        </is>
      </c>
      <c r="C271" s="45" t="inlineStr">
        <is>
          <t>67 a.C.</t>
        </is>
      </c>
      <c r="D271" s="44" t="inlineStr">
        <is>
          <t>Pompeu e os piratas</t>
        </is>
      </c>
      <c r="E271" s="44" t="inlineStr">
        <is>
          <t>A definir (Roma)</t>
        </is>
      </c>
      <c r="F271" s="45" t="inlineStr">
        <is>
          <t>Pendente</t>
        </is>
      </c>
      <c r="G271" s="45" t="n">
        <v>-67</v>
      </c>
      <c r="H271" s="43" t="n">
        <v>224</v>
      </c>
      <c r="I271" s="46">
        <f>IF(H271=0,DATE(2026,10,29),IF(H271=1,DATE(2026,10,30),DATE(2026,11,2)+7*INT((H271-2)/3)+CHOOSE(MOD(H271-2,3)+1,0,2,4)))</f>
        <v/>
      </c>
    </row>
    <row r="272" ht="15" customHeight="1" s="24">
      <c r="A272" s="43" t="n">
        <v>271</v>
      </c>
      <c r="B272" s="44" t="inlineStr">
        <is>
          <t>República romana (509–28 a.C.)</t>
        </is>
      </c>
      <c r="C272" s="45" t="inlineStr">
        <is>
          <t>66 a.C.</t>
        </is>
      </c>
      <c r="D272" s="44" t="inlineStr">
        <is>
          <t>A Lex Manilia</t>
        </is>
      </c>
      <c r="E272" s="44" t="inlineStr">
        <is>
          <t>A definir (Roma)</t>
        </is>
      </c>
      <c r="F272" s="45" t="inlineStr">
        <is>
          <t>Pendente</t>
        </is>
      </c>
      <c r="G272" s="45" t="n">
        <v>-66</v>
      </c>
      <c r="H272" s="43" t="n">
        <v>225</v>
      </c>
      <c r="I272" s="46">
        <f>IF(H272=0,DATE(2026,10,29),IF(H272=1,DATE(2026,10,30),DATE(2026,11,2)+7*INT((H272-2)/3)+CHOOSE(MOD(H272-2,3)+1,0,2,4)))</f>
        <v/>
      </c>
    </row>
    <row r="273" ht="15" customHeight="1" s="24">
      <c r="A273" s="43" t="n">
        <v>272</v>
      </c>
      <c r="B273" s="44" t="inlineStr">
        <is>
          <t>República romana (509–28 a.C.)</t>
        </is>
      </c>
      <c r="C273" s="45" t="inlineStr">
        <is>
          <t>63 a.C.</t>
        </is>
      </c>
      <c r="D273" s="44" t="inlineStr">
        <is>
          <t>Cícero e a conspiração de Catilina</t>
        </is>
      </c>
      <c r="E273" s="44" t="inlineStr">
        <is>
          <t>Cúria Júlia, Fórum Romano, Roma</t>
        </is>
      </c>
      <c r="F273" s="45" t="inlineStr">
        <is>
          <t>Pendente</t>
        </is>
      </c>
      <c r="G273" s="45" t="n">
        <v>-63</v>
      </c>
      <c r="H273" s="43" t="n">
        <v>226</v>
      </c>
      <c r="I273" s="46">
        <f>IF(H273=0,DATE(2026,10,29),IF(H273=1,DATE(2026,10,30),DATE(2026,11,2)+7*INT((H273-2)/3)+CHOOSE(MOD(H273-2,3)+1,0,2,4)))</f>
        <v/>
      </c>
    </row>
    <row r="274" ht="15" customHeight="1" s="24">
      <c r="A274" s="43" t="n">
        <v>273</v>
      </c>
      <c r="B274" s="44" t="inlineStr">
        <is>
          <t>República romana (509–28 a.C.)</t>
        </is>
      </c>
      <c r="C274" s="45" t="inlineStr">
        <is>
          <t>63 a.C.</t>
        </is>
      </c>
      <c r="D274" s="44" t="inlineStr">
        <is>
          <t>César é eleito Pontífice Máximo</t>
        </is>
      </c>
      <c r="E274" s="44" t="inlineStr">
        <is>
          <t>Fórum Romano, Roma</t>
        </is>
      </c>
      <c r="F274" s="45" t="inlineStr">
        <is>
          <t>Pendente</t>
        </is>
      </c>
      <c r="G274" s="45" t="n">
        <v>-63</v>
      </c>
      <c r="H274" s="43" t="n">
        <v>227</v>
      </c>
      <c r="I274" s="46">
        <f>IF(H274=0,DATE(2026,10,29),IF(H274=1,DATE(2026,10,30),DATE(2026,11,2)+7*INT((H274-2)/3)+CHOOSE(MOD(H274-2,3)+1,0,2,4)))</f>
        <v/>
      </c>
    </row>
    <row r="275" ht="15" customHeight="1" s="24">
      <c r="A275" s="43" t="n">
        <v>274</v>
      </c>
      <c r="B275" s="44" t="inlineStr">
        <is>
          <t>República romana (509–28 a.C.)</t>
        </is>
      </c>
      <c r="C275" s="45" t="inlineStr">
        <is>
          <t>62 a.C.</t>
        </is>
      </c>
      <c r="D275" s="44" t="inlineStr">
        <is>
          <t>Catilina cai em Pistoia</t>
        </is>
      </c>
      <c r="E275" s="44" t="inlineStr">
        <is>
          <t>Pistoia</t>
        </is>
      </c>
      <c r="F275" s="45" t="inlineStr">
        <is>
          <t>Pendente</t>
        </is>
      </c>
      <c r="G275" s="45" t="n">
        <v>-62</v>
      </c>
      <c r="H275" s="43" t="n">
        <v>228</v>
      </c>
      <c r="I275" s="46">
        <f>IF(H275=0,DATE(2026,10,29),IF(H275=1,DATE(2026,10,30),DATE(2026,11,2)+7*INT((H275-2)/3)+CHOOSE(MOD(H275-2,3)+1,0,2,4)))</f>
        <v/>
      </c>
    </row>
    <row r="276" ht="15" customHeight="1" s="24">
      <c r="A276" s="43" t="n">
        <v>275</v>
      </c>
      <c r="B276" s="44" t="inlineStr">
        <is>
          <t>República romana (509–28 a.C.)</t>
        </is>
      </c>
      <c r="C276" s="45" t="inlineStr">
        <is>
          <t>61 a.C.</t>
        </is>
      </c>
      <c r="D276" s="44" t="inlineStr">
        <is>
          <t>O escândalo da Boa Deusa</t>
        </is>
      </c>
      <c r="E276" s="44" t="inlineStr">
        <is>
          <t>A definir (Roma)</t>
        </is>
      </c>
      <c r="F276" s="45" t="inlineStr">
        <is>
          <t>Pendente</t>
        </is>
      </c>
      <c r="G276" s="45" t="n">
        <v>-61</v>
      </c>
      <c r="H276" s="43" t="n">
        <v>229</v>
      </c>
      <c r="I276" s="46">
        <f>IF(H276=0,DATE(2026,10,29),IF(H276=1,DATE(2026,10,30),DATE(2026,11,2)+7*INT((H276-2)/3)+CHOOSE(MOD(H276-2,3)+1,0,2,4)))</f>
        <v/>
      </c>
    </row>
    <row r="277" ht="15" customHeight="1" s="24">
      <c r="A277" s="43" t="n">
        <v>276</v>
      </c>
      <c r="B277" s="44" t="inlineStr">
        <is>
          <t>República romana (509–28 a.C.)</t>
        </is>
      </c>
      <c r="C277" s="45" t="inlineStr">
        <is>
          <t>60 a.C.</t>
        </is>
      </c>
      <c r="D277" s="44" t="inlineStr">
        <is>
          <t>O Primeiro Triunvirato</t>
        </is>
      </c>
      <c r="E277" s="44" t="inlineStr">
        <is>
          <t>A definir (Roma)</t>
        </is>
      </c>
      <c r="F277" s="45" t="inlineStr">
        <is>
          <t>Pendente</t>
        </is>
      </c>
      <c r="G277" s="45" t="n">
        <v>-60</v>
      </c>
      <c r="H277" s="43" t="n">
        <v>230</v>
      </c>
      <c r="I277" s="46">
        <f>IF(H277=0,DATE(2026,10,29),IF(H277=1,DATE(2026,10,30),DATE(2026,11,2)+7*INT((H277-2)/3)+CHOOSE(MOD(H277-2,3)+1,0,2,4)))</f>
        <v/>
      </c>
    </row>
    <row r="278" ht="15" customHeight="1" s="24">
      <c r="A278" s="43" t="n">
        <v>277</v>
      </c>
      <c r="B278" s="44" t="inlineStr">
        <is>
          <t>República romana (509–28 a.C.)</t>
        </is>
      </c>
      <c r="C278" s="45" t="inlineStr">
        <is>
          <t>59 a.C.</t>
        </is>
      </c>
      <c r="D278" s="44" t="inlineStr">
        <is>
          <t>César cônsul e o cacete de Bíbulo</t>
        </is>
      </c>
      <c r="E278" s="44" t="inlineStr">
        <is>
          <t>A definir (Roma)</t>
        </is>
      </c>
      <c r="F278" s="45" t="inlineStr">
        <is>
          <t>Pendente</t>
        </is>
      </c>
      <c r="G278" s="45" t="n">
        <v>-59</v>
      </c>
      <c r="H278" s="43" t="n">
        <v>231</v>
      </c>
      <c r="I278" s="46">
        <f>IF(H278=0,DATE(2026,10,29),IF(H278=1,DATE(2026,10,30),DATE(2026,11,2)+7*INT((H278-2)/3)+CHOOSE(MOD(H278-2,3)+1,0,2,4)))</f>
        <v/>
      </c>
    </row>
    <row r="279" ht="15" customHeight="1" s="24">
      <c r="A279" s="43" t="n">
        <v>278</v>
      </c>
      <c r="B279" s="44" t="inlineStr">
        <is>
          <t>República romana (509–28 a.C.)</t>
        </is>
      </c>
      <c r="C279" s="45" t="inlineStr">
        <is>
          <t>58 a.C.</t>
        </is>
      </c>
      <c r="D279" s="44" t="inlineStr">
        <is>
          <t>Clódio e o exílio de Cícero</t>
        </is>
      </c>
      <c r="E279" s="44" t="inlineStr">
        <is>
          <t>A definir (Roma)</t>
        </is>
      </c>
      <c r="F279" s="45" t="inlineStr">
        <is>
          <t>Pendente</t>
        </is>
      </c>
      <c r="G279" s="45" t="n">
        <v>-58</v>
      </c>
      <c r="H279" s="43" t="n">
        <v>232</v>
      </c>
      <c r="I279" s="46">
        <f>IF(H279=0,DATE(2026,10,29),IF(H279=1,DATE(2026,10,30),DATE(2026,11,2)+7*INT((H279-2)/3)+CHOOSE(MOD(H279-2,3)+1,0,2,4)))</f>
        <v/>
      </c>
    </row>
    <row r="280" ht="15" customHeight="1" s="24">
      <c r="A280" s="43" t="n">
        <v>279</v>
      </c>
      <c r="B280" s="44" t="inlineStr">
        <is>
          <t>República romana (509–28 a.C.)</t>
        </is>
      </c>
      <c r="C280" s="45" t="inlineStr">
        <is>
          <t>58 a.C.</t>
        </is>
      </c>
      <c r="D280" s="44" t="inlineStr">
        <is>
          <t>César na Gália</t>
        </is>
      </c>
      <c r="E280" s="44" t="inlineStr">
        <is>
          <t>A definir (Roma)</t>
        </is>
      </c>
      <c r="F280" s="45" t="inlineStr">
        <is>
          <t>Pendente</t>
        </is>
      </c>
      <c r="G280" s="45" t="n">
        <v>-58</v>
      </c>
      <c r="H280" s="43" t="n">
        <v>233</v>
      </c>
      <c r="I280" s="46">
        <f>IF(H280=0,DATE(2026,10,29),IF(H280=1,DATE(2026,10,30),DATE(2026,11,2)+7*INT((H280-2)/3)+CHOOSE(MOD(H280-2,3)+1,0,2,4)))</f>
        <v/>
      </c>
    </row>
    <row r="281" ht="15" customHeight="1" s="24">
      <c r="A281" s="43" t="n">
        <v>280</v>
      </c>
      <c r="B281" s="44" t="inlineStr">
        <is>
          <t>República romana (509–28 a.C.)</t>
        </is>
      </c>
      <c r="C281" s="45" t="inlineStr">
        <is>
          <t>55 a.C.</t>
        </is>
      </c>
      <c r="D281" s="44" t="inlineStr">
        <is>
          <t>O teatro de Pompeu</t>
        </is>
      </c>
      <c r="E281" s="44" t="inlineStr">
        <is>
          <t>Teatro de Pompeu, Largo Argentina, Roma</t>
        </is>
      </c>
      <c r="F281" s="45" t="inlineStr">
        <is>
          <t>Pendente</t>
        </is>
      </c>
      <c r="G281" s="45" t="n">
        <v>-55</v>
      </c>
      <c r="H281" s="43" t="n">
        <v>234</v>
      </c>
      <c r="I281" s="46">
        <f>IF(H281=0,DATE(2026,10,29),IF(H281=1,DATE(2026,10,30),DATE(2026,11,2)+7*INT((H281-2)/3)+CHOOSE(MOD(H281-2,3)+1,0,2,4)))</f>
        <v/>
      </c>
    </row>
    <row r="282" ht="15" customHeight="1" s="24">
      <c r="A282" s="43" t="n">
        <v>281</v>
      </c>
      <c r="B282" s="44" t="inlineStr">
        <is>
          <t>República romana (509–28 a.C.)</t>
        </is>
      </c>
      <c r="C282" s="45" t="inlineStr">
        <is>
          <t>54 a.C.</t>
        </is>
      </c>
      <c r="D282" s="44" t="inlineStr">
        <is>
          <t>A morte de Júlia</t>
        </is>
      </c>
      <c r="E282" s="44" t="inlineStr">
        <is>
          <t>A definir (Roma)</t>
        </is>
      </c>
      <c r="F282" s="45" t="inlineStr">
        <is>
          <t>Pendente</t>
        </is>
      </c>
      <c r="G282" s="45" t="n">
        <v>-54</v>
      </c>
      <c r="H282" s="43" t="n">
        <v>235</v>
      </c>
      <c r="I282" s="46">
        <f>IF(H282=0,DATE(2026,10,29),IF(H282=1,DATE(2026,10,30),DATE(2026,11,2)+7*INT((H282-2)/3)+CHOOSE(MOD(H282-2,3)+1,0,2,4)))</f>
        <v/>
      </c>
    </row>
    <row r="283" ht="15" customHeight="1" s="24">
      <c r="A283" s="43" t="n">
        <v>282</v>
      </c>
      <c r="B283" s="44" t="inlineStr">
        <is>
          <t>República romana (509–28 a.C.)</t>
        </is>
      </c>
      <c r="C283" s="45" t="inlineStr">
        <is>
          <t>53 a.C.</t>
        </is>
      </c>
      <c r="D283" s="44" t="inlineStr">
        <is>
          <t>Carras: a morte de Crasso</t>
        </is>
      </c>
      <c r="E283" s="44" t="inlineStr">
        <is>
          <t>A definir (Roma)</t>
        </is>
      </c>
      <c r="F283" s="45" t="inlineStr">
        <is>
          <t>Pendente</t>
        </is>
      </c>
      <c r="G283" s="45" t="n">
        <v>-53</v>
      </c>
      <c r="H283" s="43" t="n">
        <v>236</v>
      </c>
      <c r="I283" s="46">
        <f>IF(H283=0,DATE(2026,10,29),IF(H283=1,DATE(2026,10,30),DATE(2026,11,2)+7*INT((H283-2)/3)+CHOOSE(MOD(H283-2,3)+1,0,2,4)))</f>
        <v/>
      </c>
    </row>
    <row r="284" ht="15" customHeight="1" s="24">
      <c r="A284" s="43" t="n">
        <v>283</v>
      </c>
      <c r="B284" s="44" t="inlineStr">
        <is>
          <t>República romana (509–28 a.C.)</t>
        </is>
      </c>
      <c r="C284" s="45" t="inlineStr">
        <is>
          <t>52 a.C.</t>
        </is>
      </c>
      <c r="D284" s="44" t="inlineStr">
        <is>
          <t>O assassinato de Clódio</t>
        </is>
      </c>
      <c r="E284" s="44" t="inlineStr">
        <is>
          <t>Via Ápia Antiga, Roma</t>
        </is>
      </c>
      <c r="F284" s="45" t="inlineStr">
        <is>
          <t>Pendente</t>
        </is>
      </c>
      <c r="G284" s="45" t="n">
        <v>-52</v>
      </c>
      <c r="H284" s="43" t="n">
        <v>237</v>
      </c>
      <c r="I284" s="46">
        <f>IF(H284=0,DATE(2026,10,29),IF(H284=1,DATE(2026,10,30),DATE(2026,11,2)+7*INT((H284-2)/3)+CHOOSE(MOD(H284-2,3)+1,0,2,4)))</f>
        <v/>
      </c>
    </row>
    <row r="285" ht="15" customHeight="1" s="24">
      <c r="A285" s="43" t="n">
        <v>284</v>
      </c>
      <c r="B285" s="44" t="inlineStr">
        <is>
          <t>República romana (509–28 a.C.)</t>
        </is>
      </c>
      <c r="C285" s="45" t="inlineStr">
        <is>
          <t>52 a.C.</t>
        </is>
      </c>
      <c r="D285" s="44" t="inlineStr">
        <is>
          <t>Vercingetórix e Alésia</t>
        </is>
      </c>
      <c r="E285" s="44" t="inlineStr">
        <is>
          <t>A definir (Roma)</t>
        </is>
      </c>
      <c r="F285" s="45" t="inlineStr">
        <is>
          <t>Pendente</t>
        </is>
      </c>
      <c r="G285" s="45" t="n">
        <v>-52</v>
      </c>
      <c r="H285" s="43" t="n">
        <v>238</v>
      </c>
      <c r="I285" s="46">
        <f>IF(H285=0,DATE(2026,10,29),IF(H285=1,DATE(2026,10,30),DATE(2026,11,2)+7*INT((H285-2)/3)+CHOOSE(MOD(H285-2,3)+1,0,2,4)))</f>
        <v/>
      </c>
    </row>
    <row r="286" ht="15" customHeight="1" s="24">
      <c r="A286" s="43" t="n">
        <v>285</v>
      </c>
      <c r="B286" s="44" t="inlineStr">
        <is>
          <t>República romana (509–28 a.C.)</t>
        </is>
      </c>
      <c r="C286" s="45" t="inlineStr">
        <is>
          <t>51 a.C.</t>
        </is>
      </c>
      <c r="D286" s="44" t="inlineStr">
        <is>
          <t>Cícero e o governo da Cilícia</t>
        </is>
      </c>
      <c r="E286" s="44" t="inlineStr">
        <is>
          <t>A definir (Roma)</t>
        </is>
      </c>
      <c r="F286" s="45" t="inlineStr">
        <is>
          <t>Pendente</t>
        </is>
      </c>
      <c r="G286" s="45" t="n">
        <v>-51</v>
      </c>
      <c r="H286" s="43" t="n">
        <v>239</v>
      </c>
      <c r="I286" s="46">
        <f>IF(H286=0,DATE(2026,10,29),IF(H286=1,DATE(2026,10,30),DATE(2026,11,2)+7*INT((H286-2)/3)+CHOOSE(MOD(H286-2,3)+1,0,2,4)))</f>
        <v/>
      </c>
    </row>
    <row r="287" ht="15" customHeight="1" s="24">
      <c r="A287" s="43" t="n">
        <v>286</v>
      </c>
      <c r="B287" s="44" t="inlineStr">
        <is>
          <t>República romana (509–28 a.C.)</t>
        </is>
      </c>
      <c r="C287" s="45" t="inlineStr">
        <is>
          <t>50 a.C.</t>
        </is>
      </c>
      <c r="D287" s="44" t="inlineStr">
        <is>
          <t>A Lex Scribonia e a crise de 50</t>
        </is>
      </c>
      <c r="E287" s="44" t="inlineStr">
        <is>
          <t>A definir (Roma)</t>
        </is>
      </c>
      <c r="F287" s="45" t="inlineStr">
        <is>
          <t>Pendente</t>
        </is>
      </c>
      <c r="G287" s="45" t="n">
        <v>-50</v>
      </c>
      <c r="H287" s="43" t="n">
        <v>240</v>
      </c>
      <c r="I287" s="46">
        <f>IF(H287=0,DATE(2026,10,29),IF(H287=1,DATE(2026,10,30),DATE(2026,11,2)+7*INT((H287-2)/3)+CHOOSE(MOD(H287-2,3)+1,0,2,4)))</f>
        <v/>
      </c>
    </row>
    <row r="288" ht="15" customHeight="1" s="24">
      <c r="A288" s="43" t="n">
        <v>287</v>
      </c>
      <c r="B288" s="44" t="inlineStr">
        <is>
          <t>República romana (509–28 a.C.)</t>
        </is>
      </c>
      <c r="C288" s="45" t="inlineStr">
        <is>
          <t>49 a.C.</t>
        </is>
      </c>
      <c r="D288" s="44" t="inlineStr">
        <is>
          <t>César cruza o Rubicão</t>
        </is>
      </c>
      <c r="E288" s="44" t="inlineStr">
        <is>
          <t>Rimini</t>
        </is>
      </c>
      <c r="F288" s="45" t="inlineStr">
        <is>
          <t>Pendente</t>
        </is>
      </c>
      <c r="G288" s="45" t="n">
        <v>-49</v>
      </c>
      <c r="H288" s="43" t="n">
        <v>241</v>
      </c>
      <c r="I288" s="46">
        <f>IF(H288=0,DATE(2026,10,29),IF(H288=1,DATE(2026,10,30),DATE(2026,11,2)+7*INT((H288-2)/3)+CHOOSE(MOD(H288-2,3)+1,0,2,4)))</f>
        <v/>
      </c>
    </row>
    <row r="289" ht="15" customHeight="1" s="24">
      <c r="A289" s="43" t="n">
        <v>288</v>
      </c>
      <c r="B289" s="44" t="inlineStr">
        <is>
          <t>República romana (509–28 a.C.)</t>
        </is>
      </c>
      <c r="C289" s="45" t="inlineStr">
        <is>
          <t>49 a.C.</t>
        </is>
      </c>
      <c r="D289" s="44" t="inlineStr">
        <is>
          <t>A guerra civil: César contra Pompeu</t>
        </is>
      </c>
      <c r="E289" s="44" t="inlineStr">
        <is>
          <t>A definir (Roma)</t>
        </is>
      </c>
      <c r="F289" s="45" t="inlineStr">
        <is>
          <t>Pendente</t>
        </is>
      </c>
      <c r="G289" s="45" t="n">
        <v>-49</v>
      </c>
      <c r="H289" s="43" t="n">
        <v>242</v>
      </c>
      <c r="I289" s="46">
        <f>IF(H289=0,DATE(2026,10,29),IF(H289=1,DATE(2026,10,30),DATE(2026,11,2)+7*INT((H289-2)/3)+CHOOSE(MOD(H289-2,3)+1,0,2,4)))</f>
        <v/>
      </c>
    </row>
    <row r="290" ht="15" customHeight="1" s="24">
      <c r="A290" s="43" t="n">
        <v>289</v>
      </c>
      <c r="B290" s="44" t="inlineStr">
        <is>
          <t>República romana (509–28 a.C.)</t>
        </is>
      </c>
      <c r="C290" s="45" t="inlineStr">
        <is>
          <t>48 a.C.</t>
        </is>
      </c>
      <c r="D290" s="44" t="inlineStr">
        <is>
          <t>Farsália: o fim de Pompeu</t>
        </is>
      </c>
      <c r="E290" s="44" t="inlineStr">
        <is>
          <t>A definir (Roma)</t>
        </is>
      </c>
      <c r="F290" s="45" t="inlineStr">
        <is>
          <t>Pendente</t>
        </is>
      </c>
      <c r="G290" s="45" t="n">
        <v>-48</v>
      </c>
      <c r="H290" s="43" t="n">
        <v>243</v>
      </c>
      <c r="I290" s="46">
        <f>IF(H290=0,DATE(2026,10,29),IF(H290=1,DATE(2026,10,30),DATE(2026,11,2)+7*INT((H290-2)/3)+CHOOSE(MOD(H290-2,3)+1,0,2,4)))</f>
        <v/>
      </c>
    </row>
    <row r="291" ht="15" customHeight="1" s="24">
      <c r="A291" s="43" t="n">
        <v>290</v>
      </c>
      <c r="B291" s="44" t="inlineStr">
        <is>
          <t>República romana (509–28 a.C.)</t>
        </is>
      </c>
      <c r="C291" s="45" t="inlineStr">
        <is>
          <t>47 a.C.</t>
        </is>
      </c>
      <c r="D291" s="44" t="inlineStr">
        <is>
          <t>Cleópatra e César</t>
        </is>
      </c>
      <c r="E291" s="44" t="inlineStr">
        <is>
          <t>A definir (Roma)</t>
        </is>
      </c>
      <c r="F291" s="45" t="inlineStr">
        <is>
          <t>Pendente</t>
        </is>
      </c>
      <c r="G291" s="45" t="n">
        <v>-47</v>
      </c>
      <c r="H291" s="43" t="n">
        <v>244</v>
      </c>
      <c r="I291" s="46">
        <f>IF(H291=0,DATE(2026,10,29),IF(H291=1,DATE(2026,10,30),DATE(2026,11,2)+7*INT((H291-2)/3)+CHOOSE(MOD(H291-2,3)+1,0,2,4)))</f>
        <v/>
      </c>
    </row>
    <row r="292" ht="15" customHeight="1" s="24">
      <c r="A292" s="43" t="n">
        <v>291</v>
      </c>
      <c r="B292" s="44" t="inlineStr">
        <is>
          <t>República romana (509–28 a.C.)</t>
        </is>
      </c>
      <c r="C292" s="45" t="inlineStr">
        <is>
          <t>46 a.C.</t>
        </is>
      </c>
      <c r="D292" s="44" t="inlineStr">
        <is>
          <t>O triunfo de César e o calendário juliano</t>
        </is>
      </c>
      <c r="E292" s="44" t="inlineStr">
        <is>
          <t>Fórum de César, Roma</t>
        </is>
      </c>
      <c r="F292" s="45" t="inlineStr">
        <is>
          <t>Pendente</t>
        </is>
      </c>
      <c r="G292" s="45" t="n">
        <v>-46</v>
      </c>
      <c r="H292" s="43" t="n">
        <v>245</v>
      </c>
      <c r="I292" s="46">
        <f>IF(H292=0,DATE(2026,10,29),IF(H292=1,DATE(2026,10,30),DATE(2026,11,2)+7*INT((H292-2)/3)+CHOOSE(MOD(H292-2,3)+1,0,2,4)))</f>
        <v/>
      </c>
    </row>
    <row r="293" ht="15" customHeight="1" s="24">
      <c r="A293" s="43" t="n">
        <v>292</v>
      </c>
      <c r="B293" s="44" t="inlineStr">
        <is>
          <t>República romana (509–28 a.C.)</t>
        </is>
      </c>
      <c r="C293" s="45" t="inlineStr">
        <is>
          <t>46 a.C.</t>
        </is>
      </c>
      <c r="D293" s="44" t="inlineStr">
        <is>
          <t>O Fórum de César</t>
        </is>
      </c>
      <c r="E293" s="44" t="inlineStr">
        <is>
          <t>Fórum de César, Roma</t>
        </is>
      </c>
      <c r="F293" s="45" t="inlineStr">
        <is>
          <t>Pendente</t>
        </is>
      </c>
      <c r="G293" s="45" t="n">
        <v>-46</v>
      </c>
      <c r="H293" s="43" t="n">
        <v>246</v>
      </c>
      <c r="I293" s="46">
        <f>IF(H293=0,DATE(2026,10,29),IF(H293=1,DATE(2026,10,30),DATE(2026,11,2)+7*INT((H293-2)/3)+CHOOSE(MOD(H293-2,3)+1,0,2,4)))</f>
        <v/>
      </c>
    </row>
    <row r="294" ht="15" customHeight="1" s="24">
      <c r="A294" s="43" t="n">
        <v>293</v>
      </c>
      <c r="B294" s="44" t="inlineStr">
        <is>
          <t>República romana (509–28 a.C.)</t>
        </is>
      </c>
      <c r="C294" s="45" t="inlineStr">
        <is>
          <t>45 a.C.</t>
        </is>
      </c>
      <c r="D294" s="44" t="inlineStr">
        <is>
          <t>Munda: a última batalha de César</t>
        </is>
      </c>
      <c r="E294" s="44" t="inlineStr">
        <is>
          <t>A definir (Roma)</t>
        </is>
      </c>
      <c r="F294" s="45" t="inlineStr">
        <is>
          <t>Pendente</t>
        </is>
      </c>
      <c r="G294" s="45" t="n">
        <v>-45</v>
      </c>
      <c r="H294" s="43" t="n">
        <v>247</v>
      </c>
      <c r="I294" s="46">
        <f>IF(H294=0,DATE(2026,10,29),IF(H294=1,DATE(2026,10,30),DATE(2026,11,2)+7*INT((H294-2)/3)+CHOOSE(MOD(H294-2,3)+1,0,2,4)))</f>
        <v/>
      </c>
    </row>
    <row r="295" ht="15" customHeight="1" s="24">
      <c r="A295" s="43" t="n">
        <v>294</v>
      </c>
      <c r="B295" s="44" t="inlineStr">
        <is>
          <t>República romana (509–28 a.C.)</t>
        </is>
      </c>
      <c r="C295" s="45" t="inlineStr">
        <is>
          <t>44 a.C.</t>
        </is>
      </c>
      <c r="D295" s="44" t="inlineStr">
        <is>
          <t>César ditador perpétuo</t>
        </is>
      </c>
      <c r="E295" s="44" t="inlineStr">
        <is>
          <t>A definir (Roma)</t>
        </is>
      </c>
      <c r="F295" s="45" t="inlineStr">
        <is>
          <t>Pendente</t>
        </is>
      </c>
      <c r="G295" s="45" t="n">
        <v>-44</v>
      </c>
      <c r="H295" s="43" t="n">
        <v>248</v>
      </c>
      <c r="I295" s="46">
        <f>IF(H295=0,DATE(2026,10,29),IF(H295=1,DATE(2026,10,30),DATE(2026,11,2)+7*INT((H295-2)/3)+CHOOSE(MOD(H295-2,3)+1,0,2,4)))</f>
        <v/>
      </c>
    </row>
    <row r="296" ht="15" customHeight="1" s="24">
      <c r="A296" s="43" t="n">
        <v>295</v>
      </c>
      <c r="B296" s="44" t="inlineStr">
        <is>
          <t>República romana (509–28 a.C.)</t>
        </is>
      </c>
      <c r="C296" s="45" t="inlineStr">
        <is>
          <t>44 a.C.</t>
        </is>
      </c>
      <c r="D296" s="44" t="inlineStr">
        <is>
          <t>Os Idos de Março</t>
        </is>
      </c>
      <c r="E296" s="44" t="inlineStr">
        <is>
          <t>Largo Argentina, Roma</t>
        </is>
      </c>
      <c r="F296" s="45" t="inlineStr">
        <is>
          <t>Pendente</t>
        </is>
      </c>
      <c r="G296" s="45" t="n">
        <v>-44</v>
      </c>
      <c r="H296" s="43" t="n">
        <v>249</v>
      </c>
      <c r="I296" s="46">
        <f>IF(H296=0,DATE(2026,10,29),IF(H296=1,DATE(2026,10,30),DATE(2026,11,2)+7*INT((H296-2)/3)+CHOOSE(MOD(H296-2,3)+1,0,2,4)))</f>
        <v/>
      </c>
    </row>
    <row r="297" ht="15" customHeight="1" s="24">
      <c r="A297" s="43" t="n">
        <v>296</v>
      </c>
      <c r="B297" s="44" t="inlineStr">
        <is>
          <t>República romana (509–28 a.C.)</t>
        </is>
      </c>
      <c r="C297" s="45" t="inlineStr">
        <is>
          <t>44 a.C.</t>
        </is>
      </c>
      <c r="D297" s="44" t="inlineStr">
        <is>
          <t>O funeral de César e o Templo do Divino Júlio</t>
        </is>
      </c>
      <c r="E297" s="44" t="inlineStr">
        <is>
          <t>Fórum Romano, Roma</t>
        </is>
      </c>
      <c r="F297" s="45" t="inlineStr">
        <is>
          <t>Pendente</t>
        </is>
      </c>
      <c r="G297" s="45" t="n">
        <v>-44</v>
      </c>
      <c r="H297" s="43" t="n">
        <v>250</v>
      </c>
      <c r="I297" s="46">
        <f>IF(H297=0,DATE(2026,10,29),IF(H297=1,DATE(2026,10,30),DATE(2026,11,2)+7*INT((H297-2)/3)+CHOOSE(MOD(H297-2,3)+1,0,2,4)))</f>
        <v/>
      </c>
    </row>
    <row r="298" ht="15" customHeight="1" s="24">
      <c r="A298" s="43" t="n">
        <v>297</v>
      </c>
      <c r="B298" s="44" t="inlineStr">
        <is>
          <t>República romana (509–28 a.C.)</t>
        </is>
      </c>
      <c r="C298" s="45" t="inlineStr">
        <is>
          <t>44 a.C.</t>
        </is>
      </c>
      <c r="D298" s="44" t="inlineStr">
        <is>
          <t>Cícero e as Filípicas</t>
        </is>
      </c>
      <c r="E298" s="44" t="inlineStr">
        <is>
          <t>Fórum Romano, Roma</t>
        </is>
      </c>
      <c r="F298" s="45" t="inlineStr">
        <is>
          <t>Pendente</t>
        </is>
      </c>
      <c r="G298" s="45" t="n">
        <v>-44</v>
      </c>
      <c r="H298" s="43" t="n">
        <v>251</v>
      </c>
      <c r="I298" s="46">
        <f>IF(H298=0,DATE(2026,10,29),IF(H298=1,DATE(2026,10,30),DATE(2026,11,2)+7*INT((H298-2)/3)+CHOOSE(MOD(H298-2,3)+1,0,2,4)))</f>
        <v/>
      </c>
    </row>
    <row r="299" ht="15" customHeight="1" s="24">
      <c r="A299" s="43" t="n">
        <v>298</v>
      </c>
      <c r="B299" s="44" t="inlineStr">
        <is>
          <t>República romana (509–28 a.C.)</t>
        </is>
      </c>
      <c r="C299" s="45" t="inlineStr">
        <is>
          <t>43 a.C.</t>
        </is>
      </c>
      <c r="D299" s="44" t="inlineStr">
        <is>
          <t>O Segundo Triunvirato</t>
        </is>
      </c>
      <c r="E299" s="44" t="inlineStr">
        <is>
          <t>A definir (Roma)</t>
        </is>
      </c>
      <c r="F299" s="45" t="inlineStr">
        <is>
          <t>Pendente</t>
        </is>
      </c>
      <c r="G299" s="45" t="n">
        <v>-43</v>
      </c>
      <c r="H299" s="43" t="n">
        <v>252</v>
      </c>
      <c r="I299" s="46">
        <f>IF(H299=0,DATE(2026,10,29),IF(H299=1,DATE(2026,10,30),DATE(2026,11,2)+7*INT((H299-2)/3)+CHOOSE(MOD(H299-2,3)+1,0,2,4)))</f>
        <v/>
      </c>
    </row>
    <row r="300" ht="15" customHeight="1" s="24">
      <c r="A300" s="43" t="n">
        <v>299</v>
      </c>
      <c r="B300" s="44" t="inlineStr">
        <is>
          <t>República romana (509–28 a.C.)</t>
        </is>
      </c>
      <c r="C300" s="45" t="inlineStr">
        <is>
          <t>43 a.C.</t>
        </is>
      </c>
      <c r="D300" s="44" t="inlineStr">
        <is>
          <t>A morte de Cícero</t>
        </is>
      </c>
      <c r="E300" s="44" t="inlineStr">
        <is>
          <t>Formia</t>
        </is>
      </c>
      <c r="F300" s="45" t="inlineStr">
        <is>
          <t>Pendente</t>
        </is>
      </c>
      <c r="G300" s="45" t="n">
        <v>-43</v>
      </c>
      <c r="H300" s="43" t="n">
        <v>253</v>
      </c>
      <c r="I300" s="46">
        <f>IF(H300=0,DATE(2026,10,29),IF(H300=1,DATE(2026,10,30),DATE(2026,11,2)+7*INT((H300-2)/3)+CHOOSE(MOD(H300-2,3)+1,0,2,4)))</f>
        <v/>
      </c>
    </row>
    <row r="301" ht="15" customHeight="1" s="24">
      <c r="A301" s="43" t="n">
        <v>300</v>
      </c>
      <c r="B301" s="44" t="inlineStr">
        <is>
          <t>República romana (509–28 a.C.)</t>
        </is>
      </c>
      <c r="C301" s="45" t="inlineStr">
        <is>
          <t>42 a.C.</t>
        </is>
      </c>
      <c r="D301" s="44" t="inlineStr">
        <is>
          <t>Filipos: a vingança de César</t>
        </is>
      </c>
      <c r="E301" s="44" t="inlineStr">
        <is>
          <t>A definir (Roma)</t>
        </is>
      </c>
      <c r="F301" s="45" t="inlineStr">
        <is>
          <t>Pendente</t>
        </is>
      </c>
      <c r="G301" s="45" t="n">
        <v>-42</v>
      </c>
      <c r="H301" s="43" t="n">
        <v>254</v>
      </c>
      <c r="I301" s="46">
        <f>IF(H301=0,DATE(2026,10,29),IF(H301=1,DATE(2026,10,30),DATE(2026,11,2)+7*INT((H301-2)/3)+CHOOSE(MOD(H301-2,3)+1,0,2,4)))</f>
        <v/>
      </c>
    </row>
    <row r="302" ht="15" customHeight="1" s="24">
      <c r="A302" s="43" t="n">
        <v>301</v>
      </c>
      <c r="B302" s="44" t="inlineStr">
        <is>
          <t>República romana (509–28 a.C.)</t>
        </is>
      </c>
      <c r="C302" s="45" t="inlineStr">
        <is>
          <t>41 a.C.</t>
        </is>
      </c>
      <c r="D302" s="44" t="inlineStr">
        <is>
          <t>O cerco de Perúsia</t>
        </is>
      </c>
      <c r="E302" s="44" t="inlineStr">
        <is>
          <t>Perúgia</t>
        </is>
      </c>
      <c r="F302" s="45" t="inlineStr">
        <is>
          <t>Pendente</t>
        </is>
      </c>
      <c r="G302" s="45" t="n">
        <v>-41</v>
      </c>
      <c r="H302" s="43" t="n">
        <v>255</v>
      </c>
      <c r="I302" s="46">
        <f>IF(H302=0,DATE(2026,10,29),IF(H302=1,DATE(2026,10,30),DATE(2026,11,2)+7*INT((H302-2)/3)+CHOOSE(MOD(H302-2,3)+1,0,2,4)))</f>
        <v/>
      </c>
    </row>
    <row r="303" ht="15" customHeight="1" s="24">
      <c r="A303" s="43" t="n">
        <v>302</v>
      </c>
      <c r="B303" s="44" t="inlineStr">
        <is>
          <t>República romana (509–28 a.C.)</t>
        </is>
      </c>
      <c r="C303" s="45" t="inlineStr">
        <is>
          <t>40 a.C.</t>
        </is>
      </c>
      <c r="D303" s="44" t="inlineStr">
        <is>
          <t>A paz de Brindisi</t>
        </is>
      </c>
      <c r="E303" s="44" t="inlineStr">
        <is>
          <t>Brindisi</t>
        </is>
      </c>
      <c r="F303" s="45" t="inlineStr">
        <is>
          <t>Pendente</t>
        </is>
      </c>
      <c r="G303" s="45" t="n">
        <v>-40</v>
      </c>
      <c r="H303" s="43" t="n">
        <v>256</v>
      </c>
      <c r="I303" s="46">
        <f>IF(H303=0,DATE(2026,10,29),IF(H303=1,DATE(2026,10,30),DATE(2026,11,2)+7*INT((H303-2)/3)+CHOOSE(MOD(H303-2,3)+1,0,2,4)))</f>
        <v/>
      </c>
    </row>
    <row r="304" ht="15" customHeight="1" s="24">
      <c r="A304" s="43" t="n">
        <v>303</v>
      </c>
      <c r="B304" s="44" t="inlineStr">
        <is>
          <t>República romana (509–28 a.C.)</t>
        </is>
      </c>
      <c r="C304" s="45" t="inlineStr">
        <is>
          <t>39 a.C.</t>
        </is>
      </c>
      <c r="D304" s="44" t="inlineStr">
        <is>
          <t>Virgílio e as Éclogas</t>
        </is>
      </c>
      <c r="E304" s="44" t="inlineStr">
        <is>
          <t>A definir (Roma)</t>
        </is>
      </c>
      <c r="F304" s="45" t="inlineStr">
        <is>
          <t>Pendente</t>
        </is>
      </c>
      <c r="G304" s="45" t="n">
        <v>-39</v>
      </c>
      <c r="H304" s="43" t="n">
        <v>257</v>
      </c>
      <c r="I304" s="46">
        <f>IF(H304=0,DATE(2026,10,29),IF(H304=1,DATE(2026,10,30),DATE(2026,11,2)+7*INT((H304-2)/3)+CHOOSE(MOD(H304-2,3)+1,0,2,4)))</f>
        <v/>
      </c>
    </row>
    <row r="305" ht="15" customHeight="1" s="24">
      <c r="A305" s="43" t="n">
        <v>304</v>
      </c>
      <c r="B305" s="44" t="inlineStr">
        <is>
          <t>República romana (509–28 a.C.)</t>
        </is>
      </c>
      <c r="C305" s="45" t="inlineStr">
        <is>
          <t>38 a.C.</t>
        </is>
      </c>
      <c r="D305" s="44" t="inlineStr">
        <is>
          <t>O Templo de Apolo Palatino</t>
        </is>
      </c>
      <c r="E305" s="44" t="inlineStr">
        <is>
          <t>Palatino, Roma</t>
        </is>
      </c>
      <c r="F305" s="45" t="inlineStr">
        <is>
          <t>Pendente</t>
        </is>
      </c>
      <c r="G305" s="45" t="n">
        <v>-38</v>
      </c>
      <c r="H305" s="43" t="n">
        <v>258</v>
      </c>
      <c r="I305" s="46">
        <f>IF(H305=0,DATE(2026,10,29),IF(H305=1,DATE(2026,10,30),DATE(2026,11,2)+7*INT((H305-2)/3)+CHOOSE(MOD(H305-2,3)+1,0,2,4)))</f>
        <v/>
      </c>
    </row>
    <row r="306" ht="15" customHeight="1" s="24">
      <c r="A306" s="43" t="n">
        <v>305</v>
      </c>
      <c r="B306" s="44" t="inlineStr">
        <is>
          <t>República romana (509–28 a.C.)</t>
        </is>
      </c>
      <c r="C306" s="45" t="inlineStr">
        <is>
          <t>37 a.C.</t>
        </is>
      </c>
      <c r="D306" s="44" t="inlineStr">
        <is>
          <t>Horácio e Mecenas</t>
        </is>
      </c>
      <c r="E306" s="44" t="inlineStr">
        <is>
          <t>A definir (Roma)</t>
        </is>
      </c>
      <c r="F306" s="45" t="inlineStr">
        <is>
          <t>Pendente</t>
        </is>
      </c>
      <c r="G306" s="45" t="n">
        <v>-37</v>
      </c>
      <c r="H306" s="43" t="n">
        <v>259</v>
      </c>
      <c r="I306" s="46">
        <f>IF(H306=0,DATE(2026,10,29),IF(H306=1,DATE(2026,10,30),DATE(2026,11,2)+7*INT((H306-2)/3)+CHOOSE(MOD(H306-2,3)+1,0,2,4)))</f>
        <v/>
      </c>
    </row>
    <row r="307" ht="15" customHeight="1" s="24">
      <c r="A307" s="43" t="n">
        <v>306</v>
      </c>
      <c r="B307" s="44" t="inlineStr">
        <is>
          <t>República romana (509–28 a.C.)</t>
        </is>
      </c>
      <c r="C307" s="45" t="inlineStr">
        <is>
          <t>36 a.C.</t>
        </is>
      </c>
      <c r="D307" s="44" t="inlineStr">
        <is>
          <t>Naulochos: Otaviano e Pompeu Sexto</t>
        </is>
      </c>
      <c r="E307" s="44" t="inlineStr">
        <is>
          <t>A definir (Roma)</t>
        </is>
      </c>
      <c r="F307" s="45" t="inlineStr">
        <is>
          <t>Pendente</t>
        </is>
      </c>
      <c r="G307" s="45" t="n">
        <v>-36</v>
      </c>
      <c r="H307" s="43" t="n">
        <v>260</v>
      </c>
      <c r="I307" s="46">
        <f>IF(H307=0,DATE(2026,10,29),IF(H307=1,DATE(2026,10,30),DATE(2026,11,2)+7*INT((H307-2)/3)+CHOOSE(MOD(H307-2,3)+1,0,2,4)))</f>
        <v/>
      </c>
    </row>
    <row r="308" ht="15" customHeight="1" s="24">
      <c r="A308" s="43" t="n">
        <v>307</v>
      </c>
      <c r="B308" s="44" t="inlineStr">
        <is>
          <t>República romana (509–28 a.C.)</t>
        </is>
      </c>
      <c r="C308" s="45" t="inlineStr">
        <is>
          <t>35 a.C.</t>
        </is>
      </c>
      <c r="D308" s="44" t="inlineStr">
        <is>
          <t>Roma e a Dalmácia</t>
        </is>
      </c>
      <c r="E308" s="44" t="inlineStr">
        <is>
          <t>A definir (Roma)</t>
        </is>
      </c>
      <c r="F308" s="45" t="inlineStr">
        <is>
          <t>Pendente</t>
        </is>
      </c>
      <c r="G308" s="45" t="n">
        <v>-35</v>
      </c>
      <c r="H308" s="43" t="n">
        <v>261</v>
      </c>
      <c r="I308" s="46">
        <f>IF(H308=0,DATE(2026,10,29),IF(H308=1,DATE(2026,10,30),DATE(2026,11,2)+7*INT((H308-2)/3)+CHOOSE(MOD(H308-2,3)+1,0,2,4)))</f>
        <v/>
      </c>
    </row>
    <row r="309" ht="15" customHeight="1" s="24">
      <c r="A309" s="43" t="n">
        <v>308</v>
      </c>
      <c r="B309" s="44" t="inlineStr">
        <is>
          <t>República romana (509–28 a.C.)</t>
        </is>
      </c>
      <c r="C309" s="45" t="inlineStr">
        <is>
          <t>34 a.C.</t>
        </is>
      </c>
      <c r="D309" s="44" t="inlineStr">
        <is>
          <t>O Fórum de Augusto</t>
        </is>
      </c>
      <c r="E309" s="44" t="inlineStr">
        <is>
          <t>Fórum de Augusto, Roma</t>
        </is>
      </c>
      <c r="F309" s="45" t="inlineStr">
        <is>
          <t>Pendente</t>
        </is>
      </c>
      <c r="G309" s="45" t="n">
        <v>-34</v>
      </c>
      <c r="H309" s="43" t="n">
        <v>262</v>
      </c>
      <c r="I309" s="46">
        <f>IF(H309=0,DATE(2026,10,29),IF(H309=1,DATE(2026,10,30),DATE(2026,11,2)+7*INT((H309-2)/3)+CHOOSE(MOD(H309-2,3)+1,0,2,4)))</f>
        <v/>
      </c>
    </row>
    <row r="310" ht="15" customHeight="1" s="24">
      <c r="A310" s="43" t="n">
        <v>309</v>
      </c>
      <c r="B310" s="44" t="inlineStr">
        <is>
          <t>República romana (509–28 a.C.)</t>
        </is>
      </c>
      <c r="C310" s="45" t="inlineStr">
        <is>
          <t>33 a.C.</t>
        </is>
      </c>
      <c r="D310" s="44" t="inlineStr">
        <is>
          <t>Agripa e as obras de Roma</t>
        </is>
      </c>
      <c r="E310" s="44" t="inlineStr">
        <is>
          <t>Panteão, Roma</t>
        </is>
      </c>
      <c r="F310" s="45" t="inlineStr">
        <is>
          <t>Pendente</t>
        </is>
      </c>
      <c r="G310" s="45" t="n">
        <v>-33</v>
      </c>
      <c r="H310" s="43" t="n">
        <v>263</v>
      </c>
      <c r="I310" s="46">
        <f>IF(H310=0,DATE(2026,10,29),IF(H310=1,DATE(2026,10,30),DATE(2026,11,2)+7*INT((H310-2)/3)+CHOOSE(MOD(H310-2,3)+1,0,2,4)))</f>
        <v/>
      </c>
    </row>
    <row r="311" ht="15" customHeight="1" s="24">
      <c r="A311" s="43" t="n">
        <v>310</v>
      </c>
      <c r="B311" s="44" t="inlineStr">
        <is>
          <t>República romana (509–28 a.C.)</t>
        </is>
      </c>
      <c r="C311" s="45" t="inlineStr">
        <is>
          <t>32 a.C.</t>
        </is>
      </c>
      <c r="D311" s="44" t="inlineStr">
        <is>
          <t>Antônio e Otaviano: o início do fim</t>
        </is>
      </c>
      <c r="E311" s="44" t="inlineStr">
        <is>
          <t>A definir (Roma)</t>
        </is>
      </c>
      <c r="F311" s="45" t="inlineStr">
        <is>
          <t>Pendente</t>
        </is>
      </c>
      <c r="G311" s="45" t="n">
        <v>-32</v>
      </c>
      <c r="H311" s="43" t="n">
        <v>264</v>
      </c>
      <c r="I311" s="46">
        <f>IF(H311=0,DATE(2026,10,29),IF(H311=1,DATE(2026,10,30),DATE(2026,11,2)+7*INT((H311-2)/3)+CHOOSE(MOD(H311-2,3)+1,0,2,4)))</f>
        <v/>
      </c>
    </row>
    <row r="312" ht="15" customHeight="1" s="24">
      <c r="A312" s="43" t="n">
        <v>311</v>
      </c>
      <c r="B312" s="44" t="inlineStr">
        <is>
          <t>República romana (509–28 a.C.)</t>
        </is>
      </c>
      <c r="C312" s="45" t="inlineStr">
        <is>
          <t>31 a.C.</t>
        </is>
      </c>
      <c r="D312" s="44" t="inlineStr">
        <is>
          <t>Áccio: Antônio e Cleópatra</t>
        </is>
      </c>
      <c r="E312" s="44" t="inlineStr">
        <is>
          <t>A definir (Roma)</t>
        </is>
      </c>
      <c r="F312" s="45" t="inlineStr">
        <is>
          <t>Pendente</t>
        </is>
      </c>
      <c r="G312" s="45" t="n">
        <v>-31</v>
      </c>
      <c r="H312" s="43" t="n">
        <v>265</v>
      </c>
      <c r="I312" s="46">
        <f>IF(H312=0,DATE(2026,10,29),IF(H312=1,DATE(2026,10,30),DATE(2026,11,2)+7*INT((H312-2)/3)+CHOOSE(MOD(H312-2,3)+1,0,2,4)))</f>
        <v/>
      </c>
    </row>
    <row r="313" ht="15" customHeight="1" s="24">
      <c r="A313" s="43" t="n">
        <v>312</v>
      </c>
      <c r="B313" s="44" t="inlineStr">
        <is>
          <t>República romana (509–28 a.C.)</t>
        </is>
      </c>
      <c r="C313" s="45" t="inlineStr">
        <is>
          <t>30 a.C.</t>
        </is>
      </c>
      <c r="D313" s="44" t="inlineStr">
        <is>
          <t>O Egito torna-se província</t>
        </is>
      </c>
      <c r="E313" s="44" t="inlineStr">
        <is>
          <t>A definir (Roma)</t>
        </is>
      </c>
      <c r="F313" s="45" t="inlineStr">
        <is>
          <t>Pendente</t>
        </is>
      </c>
      <c r="G313" s="45" t="n">
        <v>-30</v>
      </c>
      <c r="H313" s="43" t="n">
        <v>266</v>
      </c>
      <c r="I313" s="46">
        <f>IF(H313=0,DATE(2026,10,29),IF(H313=1,DATE(2026,10,30),DATE(2026,11,2)+7*INT((H313-2)/3)+CHOOSE(MOD(H313-2,3)+1,0,2,4)))</f>
        <v/>
      </c>
    </row>
    <row r="314" ht="15" customHeight="1" s="24">
      <c r="A314" s="43" t="n">
        <v>313</v>
      </c>
      <c r="B314" s="44" t="inlineStr">
        <is>
          <t>República romana (509–28 a.C.)</t>
        </is>
      </c>
      <c r="C314" s="45" t="inlineStr">
        <is>
          <t>29 a.C.</t>
        </is>
      </c>
      <c r="D314" s="44" t="inlineStr">
        <is>
          <t>O triplo triunfo de Otaviano</t>
        </is>
      </c>
      <c r="E314" s="44" t="inlineStr">
        <is>
          <t>Fórum Romano, Roma</t>
        </is>
      </c>
      <c r="F314" s="45" t="inlineStr">
        <is>
          <t>Pendente</t>
        </is>
      </c>
      <c r="G314" s="45" t="n">
        <v>-29</v>
      </c>
      <c r="H314" s="43" t="n">
        <v>267</v>
      </c>
      <c r="I314" s="46">
        <f>IF(H314=0,DATE(2026,10,29),IF(H314=1,DATE(2026,10,30),DATE(2026,11,2)+7*INT((H314-2)/3)+CHOOSE(MOD(H314-2,3)+1,0,2,4)))</f>
        <v/>
      </c>
    </row>
    <row r="315" ht="15" customHeight="1" s="24">
      <c r="A315" s="43" t="n">
        <v>314</v>
      </c>
      <c r="B315" s="44" t="inlineStr">
        <is>
          <t>República romana (509–28 a.C.)</t>
        </is>
      </c>
      <c r="C315" s="45" t="inlineStr">
        <is>
          <t>28 a.C.</t>
        </is>
      </c>
      <c r="D315" s="44" t="inlineStr">
        <is>
          <t>O censo e a restauração da religião</t>
        </is>
      </c>
      <c r="E315" s="44" t="inlineStr">
        <is>
          <t>A definir (Roma)</t>
        </is>
      </c>
      <c r="F315" s="45" t="inlineStr">
        <is>
          <t>Pendente</t>
        </is>
      </c>
      <c r="G315" s="45" t="n">
        <v>-28</v>
      </c>
      <c r="H315" s="43" t="n">
        <v>268</v>
      </c>
      <c r="I315" s="46">
        <f>IF(H315=0,DATE(2026,10,29),IF(H315=1,DATE(2026,10,30),DATE(2026,11,2)+7*INT((H315-2)/3)+CHOOSE(MOD(H315-2,3)+1,0,2,4)))</f>
        <v/>
      </c>
    </row>
    <row r="316" ht="15" customHeight="1" s="24">
      <c r="A316" s="43" t="n">
        <v>315</v>
      </c>
      <c r="B316" s="44" t="inlineStr">
        <is>
          <t>República romana (509–28 a.C.)</t>
        </is>
      </c>
      <c r="C316" s="45" t="inlineStr">
        <is>
          <t>27 a.C.</t>
        </is>
      </c>
      <c r="D316" s="44" t="inlineStr">
        <is>
          <t>Otaviano recebe o título de Augusto</t>
        </is>
      </c>
      <c r="E316" s="44" t="inlineStr">
        <is>
          <t>Mausoléu de Augusto, Roma</t>
        </is>
      </c>
      <c r="F316" s="45" t="inlineStr">
        <is>
          <t>Pendente</t>
        </is>
      </c>
      <c r="G316" s="45" t="n">
        <v>-27</v>
      </c>
      <c r="H316" s="43" t="n">
        <v>269</v>
      </c>
      <c r="I316" s="46">
        <f>IF(H316=0,DATE(2026,10,29),IF(H316=1,DATE(2026,10,30),DATE(2026,11,2)+7*INT((H316-2)/3)+CHOOSE(MOD(H316-2,3)+1,0,2,4)))</f>
        <v/>
      </c>
    </row>
    <row r="317" ht="23.85" customHeight="1" s="24">
      <c r="A317" s="43" t="n">
        <v>316</v>
      </c>
      <c r="B317" s="44" t="inlineStr">
        <is>
          <t>Alto Império: de Augusto a Cômodo (27 a.C.–192 d.C.)</t>
        </is>
      </c>
      <c r="C317" s="45" t="inlineStr">
        <is>
          <t>27 a.C.</t>
        </is>
      </c>
      <c r="D317" s="44" t="inlineStr">
        <is>
          <t>O nascimento do Principado: Otaviano vira Augusto</t>
        </is>
      </c>
      <c r="E317" s="44" t="inlineStr">
        <is>
          <t>Mausoléu de Augusto, Roma</t>
        </is>
      </c>
      <c r="F317" s="45" t="inlineStr">
        <is>
          <t>Pendente</t>
        </is>
      </c>
      <c r="G317" s="45" t="n">
        <v>-27</v>
      </c>
      <c r="H317" s="43" t="n">
        <v>270</v>
      </c>
      <c r="I317" s="46">
        <f>IF(H317=0,DATE(2026,10,29),IF(H317=1,DATE(2026,10,30),DATE(2026,11,2)+7*INT((H317-2)/3)+CHOOSE(MOD(H317-2,3)+1,0,2,4)))</f>
        <v/>
      </c>
    </row>
    <row r="318" ht="23.85" customHeight="1" s="24">
      <c r="A318" s="43" t="n">
        <v>317</v>
      </c>
      <c r="B318" s="44" t="inlineStr">
        <is>
          <t>Alto Império: de Augusto a Cômodo (27 a.C.–192 d.C.)</t>
        </is>
      </c>
      <c r="C318" s="45" t="inlineStr">
        <is>
          <t>27 a.C.</t>
        </is>
      </c>
      <c r="D318" s="44" t="inlineStr">
        <is>
          <t>A Pretoriana: a guarda do imperador</t>
        </is>
      </c>
      <c r="E318" s="44" t="inlineStr">
        <is>
          <t>Castro Pretório, Roma</t>
        </is>
      </c>
      <c r="F318" s="45" t="inlineStr">
        <is>
          <t>Pendente</t>
        </is>
      </c>
      <c r="G318" s="45" t="n">
        <v>-27</v>
      </c>
      <c r="H318" s="43" t="n">
        <v>271</v>
      </c>
      <c r="I318" s="46">
        <f>IF(H318=0,DATE(2026,10,29),IF(H318=1,DATE(2026,10,30),DATE(2026,11,2)+7*INT((H318-2)/3)+CHOOSE(MOD(H318-2,3)+1,0,2,4)))</f>
        <v/>
      </c>
    </row>
    <row r="319" ht="23.85" customHeight="1" s="24">
      <c r="A319" s="43" t="n">
        <v>318</v>
      </c>
      <c r="B319" s="44" t="inlineStr">
        <is>
          <t>Alto Império: de Augusto a Cômodo (27 a.C.–192 d.C.)</t>
        </is>
      </c>
      <c r="C319" s="45" t="inlineStr">
        <is>
          <t>25 a.C.</t>
        </is>
      </c>
      <c r="D319" s="44" t="inlineStr">
        <is>
          <t>Agripa e o Panteão original</t>
        </is>
      </c>
      <c r="E319" s="44" t="inlineStr">
        <is>
          <t>Panteão, Roma</t>
        </is>
      </c>
      <c r="F319" s="45" t="inlineStr">
        <is>
          <t>Pendente</t>
        </is>
      </c>
      <c r="G319" s="45" t="n">
        <v>-25</v>
      </c>
      <c r="H319" s="43" t="n">
        <v>272</v>
      </c>
      <c r="I319" s="46">
        <f>IF(H319=0,DATE(2026,10,29),IF(H319=1,DATE(2026,10,30),DATE(2026,11,2)+7*INT((H319-2)/3)+CHOOSE(MOD(H319-2,3)+1,0,2,4)))</f>
        <v/>
      </c>
    </row>
    <row r="320" ht="23.85" customHeight="1" s="24">
      <c r="A320" s="43" t="n">
        <v>319</v>
      </c>
      <c r="B320" s="44" t="inlineStr">
        <is>
          <t>Alto Império: de Augusto a Cômodo (27 a.C.–192 d.C.)</t>
        </is>
      </c>
      <c r="C320" s="45" t="inlineStr">
        <is>
          <t>23 a.C.</t>
        </is>
      </c>
      <c r="D320" s="44" t="inlineStr">
        <is>
          <t>A doença de Augusto e a crise de 23 a.C.</t>
        </is>
      </c>
      <c r="E320" s="44" t="inlineStr">
        <is>
          <t>A definir (Roma)</t>
        </is>
      </c>
      <c r="F320" s="45" t="inlineStr">
        <is>
          <t>Pendente</t>
        </is>
      </c>
      <c r="G320" s="45" t="n">
        <v>-23</v>
      </c>
      <c r="H320" s="43" t="n">
        <v>273</v>
      </c>
      <c r="I320" s="46">
        <f>IF(H320=0,DATE(2026,10,29),IF(H320=1,DATE(2026,10,30),DATE(2026,11,2)+7*INT((H320-2)/3)+CHOOSE(MOD(H320-2,3)+1,0,2,4)))</f>
        <v/>
      </c>
    </row>
    <row r="321" ht="23.85" customHeight="1" s="24">
      <c r="A321" s="43" t="n">
        <v>320</v>
      </c>
      <c r="B321" s="44" t="inlineStr">
        <is>
          <t>Alto Império: de Augusto a Cômodo (27 a.C.–192 d.C.)</t>
        </is>
      </c>
      <c r="C321" s="45" t="inlineStr">
        <is>
          <t>23 a.C.</t>
        </is>
      </c>
      <c r="D321" s="44" t="inlineStr">
        <is>
          <t>A morte de Marcelo e o teatro que leva seu nome</t>
        </is>
      </c>
      <c r="E321" s="44" t="inlineStr">
        <is>
          <t>Teatro de Marcelo, Roma</t>
        </is>
      </c>
      <c r="F321" s="45" t="inlineStr">
        <is>
          <t>Pendente</t>
        </is>
      </c>
      <c r="G321" s="45" t="n">
        <v>-23</v>
      </c>
      <c r="H321" s="43" t="n">
        <v>274</v>
      </c>
      <c r="I321" s="46">
        <f>IF(H321=0,DATE(2026,10,29),IF(H321=1,DATE(2026,10,30),DATE(2026,11,2)+7*INT((H321-2)/3)+CHOOSE(MOD(H321-2,3)+1,0,2,4)))</f>
        <v/>
      </c>
    </row>
    <row r="322" ht="23.85" customHeight="1" s="24">
      <c r="A322" s="43" t="n">
        <v>321</v>
      </c>
      <c r="B322" s="44" t="inlineStr">
        <is>
          <t>Alto Império: de Augusto a Cômodo (27 a.C.–192 d.C.)</t>
        </is>
      </c>
      <c r="C322" s="45" t="inlineStr">
        <is>
          <t>22 a.C.</t>
        </is>
      </c>
      <c r="D322" s="44" t="inlineStr">
        <is>
          <t>A cura annonae: o abastecimento de Roma</t>
        </is>
      </c>
      <c r="E322" s="44" t="inlineStr">
        <is>
          <t>Porto de Óstia, Roma</t>
        </is>
      </c>
      <c r="F322" s="45" t="inlineStr">
        <is>
          <t>Pendente</t>
        </is>
      </c>
      <c r="G322" s="45" t="n">
        <v>-22</v>
      </c>
      <c r="H322" s="43" t="n">
        <v>275</v>
      </c>
      <c r="I322" s="46">
        <f>IF(H322=0,DATE(2026,10,29),IF(H322=1,DATE(2026,10,30),DATE(2026,11,2)+7*INT((H322-2)/3)+CHOOSE(MOD(H322-2,3)+1,0,2,4)))</f>
        <v/>
      </c>
    </row>
    <row r="323" ht="23.85" customHeight="1" s="24">
      <c r="A323" s="43" t="n">
        <v>322</v>
      </c>
      <c r="B323" s="44" t="inlineStr">
        <is>
          <t>Alto Império: de Augusto a Cômodo (27 a.C.–192 d.C.)</t>
        </is>
      </c>
      <c r="C323" s="45" t="inlineStr">
        <is>
          <t>20 a.C.</t>
        </is>
      </c>
      <c r="D323" s="44" t="inlineStr">
        <is>
          <t>A diplomacia de Augusto com os partos</t>
        </is>
      </c>
      <c r="E323" s="44" t="inlineStr">
        <is>
          <t>A definir (Roma)</t>
        </is>
      </c>
      <c r="F323" s="45" t="inlineStr">
        <is>
          <t>Pendente</t>
        </is>
      </c>
      <c r="G323" s="45" t="n">
        <v>-20</v>
      </c>
      <c r="H323" s="43" t="n">
        <v>276</v>
      </c>
      <c r="I323" s="46">
        <f>IF(H323=0,DATE(2026,10,29),IF(H323=1,DATE(2026,10,30),DATE(2026,11,2)+7*INT((H323-2)/3)+CHOOSE(MOD(H323-2,3)+1,0,2,4)))</f>
        <v/>
      </c>
    </row>
    <row r="324" ht="23.85" customHeight="1" s="24">
      <c r="A324" s="43" t="n">
        <v>323</v>
      </c>
      <c r="B324" s="44" t="inlineStr">
        <is>
          <t>Alto Império: de Augusto a Cômodo (27 a.C.–192 d.C.)</t>
        </is>
      </c>
      <c r="C324" s="45" t="inlineStr">
        <is>
          <t>19 a.C.</t>
        </is>
      </c>
      <c r="D324" s="44" t="inlineStr">
        <is>
          <t>A morte de Virgílio e a Eneida</t>
        </is>
      </c>
      <c r="E324" s="44" t="inlineStr">
        <is>
          <t>A definir (Roma)</t>
        </is>
      </c>
      <c r="F324" s="45" t="inlineStr">
        <is>
          <t>Pendente</t>
        </is>
      </c>
      <c r="G324" s="45" t="n">
        <v>-19</v>
      </c>
      <c r="H324" s="43" t="n">
        <v>277</v>
      </c>
      <c r="I324" s="46">
        <f>IF(H324=0,DATE(2026,10,29),IF(H324=1,DATE(2026,10,30),DATE(2026,11,2)+7*INT((H324-2)/3)+CHOOSE(MOD(H324-2,3)+1,0,2,4)))</f>
        <v/>
      </c>
    </row>
    <row r="325" ht="23.85" customHeight="1" s="24">
      <c r="A325" s="43" t="n">
        <v>324</v>
      </c>
      <c r="B325" s="44" t="inlineStr">
        <is>
          <t>Alto Império: de Augusto a Cômodo (27 a.C.–192 d.C.)</t>
        </is>
      </c>
      <c r="C325" s="45" t="inlineStr">
        <is>
          <t>17 a.C.</t>
        </is>
      </c>
      <c r="D325" s="44" t="inlineStr">
        <is>
          <t>Os Jogos Seculares</t>
        </is>
      </c>
      <c r="E325" s="44" t="inlineStr">
        <is>
          <t>Campo de Marte, Roma</t>
        </is>
      </c>
      <c r="F325" s="45" t="inlineStr">
        <is>
          <t>Pendente</t>
        </is>
      </c>
      <c r="G325" s="45" t="n">
        <v>-17</v>
      </c>
      <c r="H325" s="43" t="n">
        <v>278</v>
      </c>
      <c r="I325" s="46">
        <f>IF(H325=0,DATE(2026,10,29),IF(H325=1,DATE(2026,10,30),DATE(2026,11,2)+7*INT((H325-2)/3)+CHOOSE(MOD(H325-2,3)+1,0,2,4)))</f>
        <v/>
      </c>
    </row>
    <row r="326" ht="23.85" customHeight="1" s="24">
      <c r="A326" s="43" t="n">
        <v>325</v>
      </c>
      <c r="B326" s="44" t="inlineStr">
        <is>
          <t>Alto Império: de Augusto a Cômodo (27 a.C.–192 d.C.)</t>
        </is>
      </c>
      <c r="C326" s="45" t="inlineStr">
        <is>
          <t>13 a.C.</t>
        </is>
      </c>
      <c r="D326" s="44" t="inlineStr">
        <is>
          <t>O Teatro de Balbo</t>
        </is>
      </c>
      <c r="E326" s="44" t="inlineStr">
        <is>
          <t>Cripta Balbi, Roma</t>
        </is>
      </c>
      <c r="F326" s="45" t="inlineStr">
        <is>
          <t>Pendente</t>
        </is>
      </c>
      <c r="G326" s="45" t="n">
        <v>-13</v>
      </c>
      <c r="H326" s="43" t="n">
        <v>279</v>
      </c>
      <c r="I326" s="46">
        <f>IF(H326=0,DATE(2026,10,29),IF(H326=1,DATE(2026,10,30),DATE(2026,11,2)+7*INT((H326-2)/3)+CHOOSE(MOD(H326-2,3)+1,0,2,4)))</f>
        <v/>
      </c>
    </row>
    <row r="327" ht="23.85" customHeight="1" s="24">
      <c r="A327" s="43" t="n">
        <v>326</v>
      </c>
      <c r="B327" s="44" t="inlineStr">
        <is>
          <t>Alto Império: de Augusto a Cômodo (27 a.C.–192 d.C.)</t>
        </is>
      </c>
      <c r="C327" s="45" t="inlineStr">
        <is>
          <t>12 a.C.</t>
        </is>
      </c>
      <c r="D327" s="44" t="inlineStr">
        <is>
          <t>Augusto, Pontífice Máximo</t>
        </is>
      </c>
      <c r="E327" s="44" t="inlineStr">
        <is>
          <t>A definir (Roma)</t>
        </is>
      </c>
      <c r="F327" s="45" t="inlineStr">
        <is>
          <t>Pendente</t>
        </is>
      </c>
      <c r="G327" s="45" t="n">
        <v>-12</v>
      </c>
      <c r="H327" s="43" t="n">
        <v>280</v>
      </c>
      <c r="I327" s="46">
        <f>IF(H327=0,DATE(2026,10,29),IF(H327=1,DATE(2026,10,30),DATE(2026,11,2)+7*INT((H327-2)/3)+CHOOSE(MOD(H327-2,3)+1,0,2,4)))</f>
        <v/>
      </c>
    </row>
    <row r="328" ht="23.85" customHeight="1" s="24">
      <c r="A328" s="43" t="n">
        <v>327</v>
      </c>
      <c r="B328" s="44" t="inlineStr">
        <is>
          <t>Alto Império: de Augusto a Cômodo (27 a.C.–192 d.C.)</t>
        </is>
      </c>
      <c r="C328" s="45" t="inlineStr">
        <is>
          <t>9 a.C.</t>
        </is>
      </c>
      <c r="D328" s="44" t="inlineStr">
        <is>
          <t>A Ara Pacis: o altar da paz</t>
        </is>
      </c>
      <c r="E328" s="44" t="inlineStr">
        <is>
          <t>Ara Pacis, Roma</t>
        </is>
      </c>
      <c r="F328" s="45" t="inlineStr">
        <is>
          <t>Pendente</t>
        </is>
      </c>
      <c r="G328" s="45" t="n">
        <v>-9</v>
      </c>
      <c r="H328" s="43" t="n">
        <v>281</v>
      </c>
      <c r="I328" s="46">
        <f>IF(H328=0,DATE(2026,10,29),IF(H328=1,DATE(2026,10,30),DATE(2026,11,2)+7*INT((H328-2)/3)+CHOOSE(MOD(H328-2,3)+1,0,2,4)))</f>
        <v/>
      </c>
    </row>
    <row r="329" ht="23.85" customHeight="1" s="24">
      <c r="A329" s="43" t="n">
        <v>328</v>
      </c>
      <c r="B329" s="44" t="inlineStr">
        <is>
          <t>Alto Império: de Augusto a Cômodo (27 a.C.–192 d.C.)</t>
        </is>
      </c>
      <c r="C329" s="45" t="inlineStr">
        <is>
          <t>9 a.C.</t>
        </is>
      </c>
      <c r="D329" s="44" t="inlineStr">
        <is>
          <t>O Relógio Solar de Augusto</t>
        </is>
      </c>
      <c r="E329" s="44" t="inlineStr">
        <is>
          <t>Piazza del Parlamento, Roma</t>
        </is>
      </c>
      <c r="F329" s="45" t="inlineStr">
        <is>
          <t>Pendente</t>
        </is>
      </c>
      <c r="G329" s="45" t="n">
        <v>-9</v>
      </c>
      <c r="H329" s="43" t="n">
        <v>282</v>
      </c>
      <c r="I329" s="46">
        <f>IF(H329=0,DATE(2026,10,29),IF(H329=1,DATE(2026,10,30),DATE(2026,11,2)+7*INT((H329-2)/3)+CHOOSE(MOD(H329-2,3)+1,0,2,4)))</f>
        <v/>
      </c>
    </row>
    <row r="330" ht="23.85" customHeight="1" s="24">
      <c r="A330" s="43" t="n">
        <v>329</v>
      </c>
      <c r="B330" s="44" t="inlineStr">
        <is>
          <t>Alto Império: de Augusto a Cômodo (27 a.C.–192 d.C.)</t>
        </is>
      </c>
      <c r="C330" s="45" t="inlineStr">
        <is>
          <t>8 a.C.</t>
        </is>
      </c>
      <c r="D330" s="44" t="inlineStr">
        <is>
          <t>O mês de agosto</t>
        </is>
      </c>
      <c r="E330" s="44" t="inlineStr">
        <is>
          <t>A definir (Roma)</t>
        </is>
      </c>
      <c r="F330" s="45" t="inlineStr">
        <is>
          <t>Pendente</t>
        </is>
      </c>
      <c r="G330" s="45" t="n">
        <v>-8</v>
      </c>
      <c r="H330" s="43" t="n">
        <v>283</v>
      </c>
      <c r="I330" s="46">
        <f>IF(H330=0,DATE(2026,10,29),IF(H330=1,DATE(2026,10,30),DATE(2026,11,2)+7*INT((H330-2)/3)+CHOOSE(MOD(H330-2,3)+1,0,2,4)))</f>
        <v/>
      </c>
    </row>
    <row r="331" ht="23.85" customHeight="1" s="24">
      <c r="A331" s="43" t="n">
        <v>330</v>
      </c>
      <c r="B331" s="44" t="inlineStr">
        <is>
          <t>Alto Império: de Augusto a Cômodo (27 a.C.–192 d.C.)</t>
        </is>
      </c>
      <c r="C331" s="45" t="inlineStr">
        <is>
          <t>7 a.C.</t>
        </is>
      </c>
      <c r="D331" s="44" t="inlineStr">
        <is>
          <t>As 14 regiões de Roma e os vici</t>
        </is>
      </c>
      <c r="E331" s="44" t="inlineStr">
        <is>
          <t>A definir (Roma)</t>
        </is>
      </c>
      <c r="F331" s="45" t="inlineStr">
        <is>
          <t>Pendente</t>
        </is>
      </c>
      <c r="G331" s="45" t="n">
        <v>-7</v>
      </c>
      <c r="H331" s="43" t="n">
        <v>284</v>
      </c>
      <c r="I331" s="46">
        <f>IF(H331=0,DATE(2026,10,29),IF(H331=1,DATE(2026,10,30),DATE(2026,11,2)+7*INT((H331-2)/3)+CHOOSE(MOD(H331-2,3)+1,0,2,4)))</f>
        <v/>
      </c>
    </row>
    <row r="332" ht="23.85" customHeight="1" s="24">
      <c r="A332" s="43" t="n">
        <v>331</v>
      </c>
      <c r="B332" s="44" t="inlineStr">
        <is>
          <t>Alto Império: de Augusto a Cômodo (27 a.C.–192 d.C.)</t>
        </is>
      </c>
      <c r="C332" s="45" t="inlineStr">
        <is>
          <t>2 a.C.</t>
        </is>
      </c>
      <c r="D332" s="44" t="inlineStr">
        <is>
          <t>Augusto, Pai da Pátria</t>
        </is>
      </c>
      <c r="E332" s="44" t="inlineStr">
        <is>
          <t>Fórum de Augusto, Roma</t>
        </is>
      </c>
      <c r="F332" s="45" t="inlineStr">
        <is>
          <t>Pendente</t>
        </is>
      </c>
      <c r="G332" s="45" t="n">
        <v>-2</v>
      </c>
      <c r="H332" s="43" t="n">
        <v>285</v>
      </c>
      <c r="I332" s="46">
        <f>IF(H332=0,DATE(2026,10,29),IF(H332=1,DATE(2026,10,30),DATE(2026,11,2)+7*INT((H332-2)/3)+CHOOSE(MOD(H332-2,3)+1,0,2,4)))</f>
        <v/>
      </c>
    </row>
    <row r="333" ht="23.85" customHeight="1" s="24">
      <c r="A333" s="43" t="n">
        <v>332</v>
      </c>
      <c r="B333" s="44" t="inlineStr">
        <is>
          <t>Alto Império: de Augusto a Cômodo (27 a.C.–192 d.C.)</t>
        </is>
      </c>
      <c r="C333" s="45" t="inlineStr">
        <is>
          <t>8</t>
        </is>
      </c>
      <c r="D333" s="44" t="inlineStr">
        <is>
          <t>O exílio de Ovídio</t>
        </is>
      </c>
      <c r="E333" s="44" t="inlineStr">
        <is>
          <t>A definir (Roma)</t>
        </is>
      </c>
      <c r="F333" s="45" t="inlineStr">
        <is>
          <t>Pendente</t>
        </is>
      </c>
      <c r="G333" s="45" t="n">
        <v>8</v>
      </c>
      <c r="H333" s="43" t="n">
        <v>286</v>
      </c>
      <c r="I333" s="46">
        <f>IF(H333=0,DATE(2026,10,29),IF(H333=1,DATE(2026,10,30),DATE(2026,11,2)+7*INT((H333-2)/3)+CHOOSE(MOD(H333-2,3)+1,0,2,4)))</f>
        <v/>
      </c>
    </row>
    <row r="334" ht="23.85" customHeight="1" s="24">
      <c r="A334" s="43" t="n">
        <v>333</v>
      </c>
      <c r="B334" s="44" t="inlineStr">
        <is>
          <t>Alto Império: de Augusto a Cômodo (27 a.C.–192 d.C.)</t>
        </is>
      </c>
      <c r="C334" s="45" t="inlineStr">
        <is>
          <t>9</t>
        </is>
      </c>
      <c r="D334" s="44" t="inlineStr">
        <is>
          <t>O desastre da Floresta de Teutoburgo</t>
        </is>
      </c>
      <c r="E334" s="44" t="inlineStr">
        <is>
          <t>A definir (Roma)</t>
        </is>
      </c>
      <c r="F334" s="45" t="inlineStr">
        <is>
          <t>Pendente</t>
        </is>
      </c>
      <c r="G334" s="45" t="n">
        <v>9</v>
      </c>
      <c r="H334" s="43" t="n">
        <v>287</v>
      </c>
      <c r="I334" s="46">
        <f>IF(H334=0,DATE(2026,10,29),IF(H334=1,DATE(2026,10,30),DATE(2026,11,2)+7*INT((H334-2)/3)+CHOOSE(MOD(H334-2,3)+1,0,2,4)))</f>
        <v/>
      </c>
    </row>
    <row r="335" ht="23.85" customHeight="1" s="24">
      <c r="A335" s="43" t="n">
        <v>334</v>
      </c>
      <c r="B335" s="44" t="inlineStr">
        <is>
          <t>Alto Império: de Augusto a Cômodo (27 a.C.–192 d.C.)</t>
        </is>
      </c>
      <c r="C335" s="45" t="inlineStr">
        <is>
          <t>14</t>
        </is>
      </c>
      <c r="D335" s="44" t="inlineStr">
        <is>
          <t>A morte de Augusto e o Res Gestae</t>
        </is>
      </c>
      <c r="E335" s="44" t="inlineStr">
        <is>
          <t>Mausoléu de Augusto, Roma</t>
        </is>
      </c>
      <c r="F335" s="45" t="inlineStr">
        <is>
          <t>Pendente</t>
        </is>
      </c>
      <c r="G335" s="45" t="n">
        <v>14</v>
      </c>
      <c r="H335" s="43" t="n">
        <v>288</v>
      </c>
      <c r="I335" s="46">
        <f>IF(H335=0,DATE(2026,10,29),IF(H335=1,DATE(2026,10,30),DATE(2026,11,2)+7*INT((H335-2)/3)+CHOOSE(MOD(H335-2,3)+1,0,2,4)))</f>
        <v/>
      </c>
    </row>
    <row r="336" ht="23.85" customHeight="1" s="24">
      <c r="A336" s="43" t="n">
        <v>335</v>
      </c>
      <c r="B336" s="44" t="inlineStr">
        <is>
          <t>Alto Império: de Augusto a Cômodo (27 a.C.–192 d.C.)</t>
        </is>
      </c>
      <c r="C336" s="45" t="inlineStr">
        <is>
          <t>14</t>
        </is>
      </c>
      <c r="D336" s="44" t="inlineStr">
        <is>
          <t>Tibério, o imperador relutante</t>
        </is>
      </c>
      <c r="E336" s="44" t="inlineStr">
        <is>
          <t>A definir (Roma)</t>
        </is>
      </c>
      <c r="F336" s="45" t="inlineStr">
        <is>
          <t>Pendente</t>
        </is>
      </c>
      <c r="G336" s="45" t="n">
        <v>14</v>
      </c>
      <c r="H336" s="43" t="n">
        <v>289</v>
      </c>
      <c r="I336" s="46">
        <f>IF(H336=0,DATE(2026,10,29),IF(H336=1,DATE(2026,10,30),DATE(2026,11,2)+7*INT((H336-2)/3)+CHOOSE(MOD(H336-2,3)+1,0,2,4)))</f>
        <v/>
      </c>
    </row>
    <row r="337" ht="23.85" customHeight="1" s="24">
      <c r="A337" s="43" t="n">
        <v>336</v>
      </c>
      <c r="B337" s="44" t="inlineStr">
        <is>
          <t>Alto Império: de Augusto a Cômodo (27 a.C.–192 d.C.)</t>
        </is>
      </c>
      <c r="C337" s="45" t="inlineStr">
        <is>
          <t>14</t>
        </is>
      </c>
      <c r="D337" s="44" t="inlineStr">
        <is>
          <t>Os Res Gestae: o testamento de Augusto</t>
        </is>
      </c>
      <c r="E337" s="44" t="inlineStr">
        <is>
          <t>Mausoléu de Augusto, Roma</t>
        </is>
      </c>
      <c r="F337" s="45" t="inlineStr">
        <is>
          <t>Pendente</t>
        </is>
      </c>
      <c r="G337" s="45" t="n">
        <v>14</v>
      </c>
      <c r="H337" s="43" t="n">
        <v>290</v>
      </c>
      <c r="I337" s="46">
        <f>IF(H337=0,DATE(2026,10,29),IF(H337=1,DATE(2026,10,30),DATE(2026,11,2)+7*INT((H337-2)/3)+CHOOSE(MOD(H337-2,3)+1,0,2,4)))</f>
        <v/>
      </c>
    </row>
    <row r="338" ht="23.85" customHeight="1" s="24">
      <c r="A338" s="43" t="n">
        <v>337</v>
      </c>
      <c r="B338" s="44" t="inlineStr">
        <is>
          <t>Alto Império: de Augusto a Cômodo (27 a.C.–192 d.C.)</t>
        </is>
      </c>
      <c r="C338" s="45" t="inlineStr">
        <is>
          <t>c. 15</t>
        </is>
      </c>
      <c r="D338" s="44" t="inlineStr">
        <is>
          <t>Insulae: como se morava na Roma antiga</t>
        </is>
      </c>
      <c r="E338" s="44" t="inlineStr">
        <is>
          <t>Insula dell'Ara Coeli, Roma</t>
        </is>
      </c>
      <c r="F338" s="45" t="inlineStr">
        <is>
          <t>Pendente</t>
        </is>
      </c>
      <c r="G338" s="45" t="n">
        <v>15</v>
      </c>
      <c r="H338" s="43" t="n">
        <v>291</v>
      </c>
      <c r="I338" s="46">
        <f>IF(H338=0,DATE(2026,10,29),IF(H338=1,DATE(2026,10,30),DATE(2026,11,2)+7*INT((H338-2)/3)+CHOOSE(MOD(H338-2,3)+1,0,2,4)))</f>
        <v/>
      </c>
    </row>
    <row r="339" ht="23.85" customHeight="1" s="24">
      <c r="A339" s="43" t="n">
        <v>338</v>
      </c>
      <c r="B339" s="44" t="inlineStr">
        <is>
          <t>Alto Império: de Augusto a Cômodo (27 a.C.–192 d.C.)</t>
        </is>
      </c>
      <c r="C339" s="45" t="inlineStr">
        <is>
          <t>19</t>
        </is>
      </c>
      <c r="D339" s="44" t="inlineStr">
        <is>
          <t>A morte de Germânico</t>
        </is>
      </c>
      <c r="E339" s="44" t="inlineStr">
        <is>
          <t>A definir (Roma)</t>
        </is>
      </c>
      <c r="F339" s="45" t="inlineStr">
        <is>
          <t>Pendente</t>
        </is>
      </c>
      <c r="G339" s="45" t="n">
        <v>19</v>
      </c>
      <c r="H339" s="43" t="n">
        <v>292</v>
      </c>
      <c r="I339" s="46">
        <f>IF(H339=0,DATE(2026,10,29),IF(H339=1,DATE(2026,10,30),DATE(2026,11,2)+7*INT((H339-2)/3)+CHOOSE(MOD(H339-2,3)+1,0,2,4)))</f>
        <v/>
      </c>
    </row>
    <row r="340" ht="23.85" customHeight="1" s="24">
      <c r="A340" s="43" t="n">
        <v>339</v>
      </c>
      <c r="B340" s="44" t="inlineStr">
        <is>
          <t>Alto Império: de Augusto a Cômodo (27 a.C.–192 d.C.)</t>
        </is>
      </c>
      <c r="C340" s="45" t="inlineStr">
        <is>
          <t>c. 20</t>
        </is>
      </c>
      <c r="D340" s="44" t="inlineStr">
        <is>
          <t>A comida na Roma imperial</t>
        </is>
      </c>
      <c r="E340" s="44" t="inlineStr">
        <is>
          <t>Óstia Antiga</t>
        </is>
      </c>
      <c r="F340" s="45" t="inlineStr">
        <is>
          <t>Pendente</t>
        </is>
      </c>
      <c r="G340" s="45" t="n">
        <v>20</v>
      </c>
      <c r="H340" s="43" t="n">
        <v>293</v>
      </c>
      <c r="I340" s="46">
        <f>IF(H340=0,DATE(2026,10,29),IF(H340=1,DATE(2026,10,30),DATE(2026,11,2)+7*INT((H340-2)/3)+CHOOSE(MOD(H340-2,3)+1,0,2,4)))</f>
        <v/>
      </c>
    </row>
    <row r="341" ht="23.85" customHeight="1" s="24">
      <c r="A341" s="43" t="n">
        <v>340</v>
      </c>
      <c r="B341" s="44" t="inlineStr">
        <is>
          <t>Alto Império: de Augusto a Cômodo (27 a.C.–192 d.C.)</t>
        </is>
      </c>
      <c r="C341" s="45" t="inlineStr">
        <is>
          <t>23</t>
        </is>
      </c>
      <c r="D341" s="44" t="inlineStr">
        <is>
          <t>Sejano e os pretorianos</t>
        </is>
      </c>
      <c r="E341" s="44" t="inlineStr">
        <is>
          <t>Castro Pretório, Roma</t>
        </is>
      </c>
      <c r="F341" s="45" t="inlineStr">
        <is>
          <t>Pendente</t>
        </is>
      </c>
      <c r="G341" s="45" t="n">
        <v>23</v>
      </c>
      <c r="H341" s="43" t="n">
        <v>294</v>
      </c>
      <c r="I341" s="46">
        <f>IF(H341=0,DATE(2026,10,29),IF(H341=1,DATE(2026,10,30),DATE(2026,11,2)+7*INT((H341-2)/3)+CHOOSE(MOD(H341-2,3)+1,0,2,4)))</f>
        <v/>
      </c>
    </row>
    <row r="342" ht="23.85" customHeight="1" s="24">
      <c r="A342" s="43" t="n">
        <v>341</v>
      </c>
      <c r="B342" s="44" t="inlineStr">
        <is>
          <t>Alto Império: de Augusto a Cômodo (27 a.C.–192 d.C.)</t>
        </is>
      </c>
      <c r="C342" s="45" t="inlineStr">
        <is>
          <t>c. 25</t>
        </is>
      </c>
      <c r="D342" s="44" t="inlineStr">
        <is>
          <t>Dinheiro e preços: sestércios e denários</t>
        </is>
      </c>
      <c r="E342" s="44" t="inlineStr">
        <is>
          <t>Museo Nazionale Romano, Palazzo Massimo, Roma</t>
        </is>
      </c>
      <c r="F342" s="45" t="inlineStr">
        <is>
          <t>Pendente</t>
        </is>
      </c>
      <c r="G342" s="45" t="n">
        <v>25</v>
      </c>
      <c r="H342" s="43" t="n">
        <v>295</v>
      </c>
      <c r="I342" s="46">
        <f>IF(H342=0,DATE(2026,10,29),IF(H342=1,DATE(2026,10,30),DATE(2026,11,2)+7*INT((H342-2)/3)+CHOOSE(MOD(H342-2,3)+1,0,2,4)))</f>
        <v/>
      </c>
    </row>
    <row r="343" ht="23.85" customHeight="1" s="24">
      <c r="A343" s="43" t="n">
        <v>342</v>
      </c>
      <c r="B343" s="44" t="inlineStr">
        <is>
          <t>Alto Império: de Augusto a Cômodo (27 a.C.–192 d.C.)</t>
        </is>
      </c>
      <c r="C343" s="45" t="inlineStr">
        <is>
          <t>26</t>
        </is>
      </c>
      <c r="D343" s="44" t="inlineStr">
        <is>
          <t>Tibério em Capri</t>
        </is>
      </c>
      <c r="E343" s="44" t="inlineStr">
        <is>
          <t>Villa Jovis, Capri</t>
        </is>
      </c>
      <c r="F343" s="45" t="inlineStr">
        <is>
          <t>Pendente</t>
        </is>
      </c>
      <c r="G343" s="45" t="n">
        <v>26</v>
      </c>
      <c r="H343" s="43" t="n">
        <v>296</v>
      </c>
      <c r="I343" s="46">
        <f>IF(H343=0,DATE(2026,10,29),IF(H343=1,DATE(2026,10,30),DATE(2026,11,2)+7*INT((H343-2)/3)+CHOOSE(MOD(H343-2,3)+1,0,2,4)))</f>
        <v/>
      </c>
    </row>
    <row r="344" ht="23.85" customHeight="1" s="24">
      <c r="A344" s="43" t="n">
        <v>343</v>
      </c>
      <c r="B344" s="44" t="inlineStr">
        <is>
          <t>Alto Império: de Augusto a Cômodo (27 a.C.–192 d.C.)</t>
        </is>
      </c>
      <c r="C344" s="45" t="inlineStr">
        <is>
          <t>c. 30</t>
        </is>
      </c>
      <c r="D344" s="44" t="inlineStr">
        <is>
          <t>Escravos e libertos na Roma imperial</t>
        </is>
      </c>
      <c r="E344" s="44" t="inlineStr">
        <is>
          <t>A definir (Roma)</t>
        </is>
      </c>
      <c r="F344" s="45" t="inlineStr">
        <is>
          <t>Pendente</t>
        </is>
      </c>
      <c r="G344" s="45" t="n">
        <v>30</v>
      </c>
      <c r="H344" s="43" t="n">
        <v>297</v>
      </c>
      <c r="I344" s="46">
        <f>IF(H344=0,DATE(2026,10,29),IF(H344=1,DATE(2026,10,30),DATE(2026,11,2)+7*INT((H344-2)/3)+CHOOSE(MOD(H344-2,3)+1,0,2,4)))</f>
        <v/>
      </c>
    </row>
    <row r="345" ht="23.85" customHeight="1" s="24">
      <c r="A345" s="43" t="n">
        <v>344</v>
      </c>
      <c r="B345" s="44" t="inlineStr">
        <is>
          <t>Alto Império: de Augusto a Cômodo (27 a.C.–192 d.C.)</t>
        </is>
      </c>
      <c r="C345" s="45" t="inlineStr">
        <is>
          <t>31</t>
        </is>
      </c>
      <c r="D345" s="44" t="inlineStr">
        <is>
          <t>A queda de Sejano</t>
        </is>
      </c>
      <c r="E345" s="44" t="inlineStr">
        <is>
          <t>A definir (Roma)</t>
        </is>
      </c>
      <c r="F345" s="45" t="inlineStr">
        <is>
          <t>Pendente</t>
        </is>
      </c>
      <c r="G345" s="45" t="n">
        <v>31</v>
      </c>
      <c r="H345" s="43" t="n">
        <v>298</v>
      </c>
      <c r="I345" s="46">
        <f>IF(H345=0,DATE(2026,10,29),IF(H345=1,DATE(2026,10,30),DATE(2026,11,2)+7*INT((H345-2)/3)+CHOOSE(MOD(H345-2,3)+1,0,2,4)))</f>
        <v/>
      </c>
    </row>
    <row r="346" ht="23.85" customHeight="1" s="24">
      <c r="A346" s="43" t="n">
        <v>345</v>
      </c>
      <c r="B346" s="44" t="inlineStr">
        <is>
          <t>Alto Império: de Augusto a Cômodo (27 a.C.–192 d.C.)</t>
        </is>
      </c>
      <c r="C346" s="45" t="inlineStr">
        <is>
          <t>33</t>
        </is>
      </c>
      <c r="D346" s="44" t="inlineStr">
        <is>
          <t>A crise financeira do ano 33</t>
        </is>
      </c>
      <c r="E346" s="44" t="inlineStr">
        <is>
          <t>A definir (Roma)</t>
        </is>
      </c>
      <c r="F346" s="45" t="inlineStr">
        <is>
          <t>Pendente</t>
        </is>
      </c>
      <c r="G346" s="45" t="n">
        <v>33</v>
      </c>
      <c r="H346" s="43" t="n">
        <v>299</v>
      </c>
      <c r="I346" s="46">
        <f>IF(H346=0,DATE(2026,10,29),IF(H346=1,DATE(2026,10,30),DATE(2026,11,2)+7*INT((H346-2)/3)+CHOOSE(MOD(H346-2,3)+1,0,2,4)))</f>
        <v/>
      </c>
    </row>
    <row r="347" ht="23.85" customHeight="1" s="24">
      <c r="A347" s="43" t="n">
        <v>346</v>
      </c>
      <c r="B347" s="44" t="inlineStr">
        <is>
          <t>Alto Império: de Augusto a Cômodo (27 a.C.–192 d.C.)</t>
        </is>
      </c>
      <c r="C347" s="45" t="inlineStr">
        <is>
          <t>37</t>
        </is>
      </c>
      <c r="D347" s="44" t="inlineStr">
        <is>
          <t>Calígula: o jovem imperador</t>
        </is>
      </c>
      <c r="E347" s="44" t="inlineStr">
        <is>
          <t>A definir (Roma)</t>
        </is>
      </c>
      <c r="F347" s="45" t="inlineStr">
        <is>
          <t>Pendente</t>
        </is>
      </c>
      <c r="G347" s="45" t="n">
        <v>37</v>
      </c>
      <c r="H347" s="43" t="n">
        <v>300</v>
      </c>
      <c r="I347" s="46">
        <f>IF(H347=0,DATE(2026,10,29),IF(H347=1,DATE(2026,10,30),DATE(2026,11,2)+7*INT((H347-2)/3)+CHOOSE(MOD(H347-2,3)+1,0,2,4)))</f>
        <v/>
      </c>
    </row>
    <row r="348" ht="23.85" customHeight="1" s="24">
      <c r="A348" s="43" t="n">
        <v>347</v>
      </c>
      <c r="B348" s="44" t="inlineStr">
        <is>
          <t>Alto Império: de Augusto a Cômodo (27 a.C.–192 d.C.)</t>
        </is>
      </c>
      <c r="C348" s="45" t="inlineStr">
        <is>
          <t>37</t>
        </is>
      </c>
      <c r="D348" s="44" t="inlineStr">
        <is>
          <t>O obelisco do Vaticano</t>
        </is>
      </c>
      <c r="E348" s="44" t="inlineStr">
        <is>
          <t>Praça de São Pedro, Roma</t>
        </is>
      </c>
      <c r="F348" s="45" t="inlineStr">
        <is>
          <t>Pendente</t>
        </is>
      </c>
      <c r="G348" s="45" t="n">
        <v>37</v>
      </c>
      <c r="H348" s="43" t="n">
        <v>301</v>
      </c>
      <c r="I348" s="46">
        <f>IF(H348=0,DATE(2026,10,29),IF(H348=1,DATE(2026,10,30),DATE(2026,11,2)+7*INT((H348-2)/3)+CHOOSE(MOD(H348-2,3)+1,0,2,4)))</f>
        <v/>
      </c>
    </row>
    <row r="349" ht="23.85" customHeight="1" s="24">
      <c r="A349" s="43" t="n">
        <v>348</v>
      </c>
      <c r="B349" s="44" t="inlineStr">
        <is>
          <t>Alto Império: de Augusto a Cômodo (27 a.C.–192 d.C.)</t>
        </is>
      </c>
      <c r="C349" s="45" t="inlineStr">
        <is>
          <t>40</t>
        </is>
      </c>
      <c r="D349" s="44" t="inlineStr">
        <is>
          <t>A loucura de Calígula</t>
        </is>
      </c>
      <c r="E349" s="44" t="inlineStr">
        <is>
          <t>A definir (Roma)</t>
        </is>
      </c>
      <c r="F349" s="45" t="inlineStr">
        <is>
          <t>Pendente</t>
        </is>
      </c>
      <c r="G349" s="45" t="n">
        <v>40</v>
      </c>
      <c r="H349" s="43" t="n">
        <v>302</v>
      </c>
      <c r="I349" s="46">
        <f>IF(H349=0,DATE(2026,10,29),IF(H349=1,DATE(2026,10,30),DATE(2026,11,2)+7*INT((H349-2)/3)+CHOOSE(MOD(H349-2,3)+1,0,2,4)))</f>
        <v/>
      </c>
    </row>
    <row r="350" ht="23.85" customHeight="1" s="24">
      <c r="A350" s="43" t="n">
        <v>349</v>
      </c>
      <c r="B350" s="44" t="inlineStr">
        <is>
          <t>Alto Império: de Augusto a Cômodo (27 a.C.–192 d.C.)</t>
        </is>
      </c>
      <c r="C350" s="45" t="inlineStr">
        <is>
          <t>c. 40</t>
        </is>
      </c>
      <c r="D350" s="44" t="inlineStr">
        <is>
          <t>Os banhos públicos: como funcionavam as termas</t>
        </is>
      </c>
      <c r="E350" s="44" t="inlineStr">
        <is>
          <t>Termas de Caracalla, Roma</t>
        </is>
      </c>
      <c r="F350" s="45" t="inlineStr">
        <is>
          <t>Pendente</t>
        </is>
      </c>
      <c r="G350" s="45" t="n">
        <v>40</v>
      </c>
      <c r="H350" s="43" t="n">
        <v>303</v>
      </c>
      <c r="I350" s="46">
        <f>IF(H350=0,DATE(2026,10,29),IF(H350=1,DATE(2026,10,30),DATE(2026,11,2)+7*INT((H350-2)/3)+CHOOSE(MOD(H350-2,3)+1,0,2,4)))</f>
        <v/>
      </c>
    </row>
    <row r="351" ht="23.85" customHeight="1" s="24">
      <c r="A351" s="43" t="n">
        <v>350</v>
      </c>
      <c r="B351" s="44" t="inlineStr">
        <is>
          <t>Alto Império: de Augusto a Cômodo (27 a.C.–192 d.C.)</t>
        </is>
      </c>
      <c r="C351" s="45" t="inlineStr">
        <is>
          <t>41</t>
        </is>
      </c>
      <c r="D351" s="44" t="inlineStr">
        <is>
          <t>O assassinato de Calígula</t>
        </is>
      </c>
      <c r="E351" s="44" t="inlineStr">
        <is>
          <t>Palatino, Roma</t>
        </is>
      </c>
      <c r="F351" s="45" t="inlineStr">
        <is>
          <t>Pendente</t>
        </is>
      </c>
      <c r="G351" s="45" t="n">
        <v>41</v>
      </c>
      <c r="H351" s="43" t="n">
        <v>304</v>
      </c>
      <c r="I351" s="46">
        <f>IF(H351=0,DATE(2026,10,29),IF(H351=1,DATE(2026,10,30),DATE(2026,11,2)+7*INT((H351-2)/3)+CHOOSE(MOD(H351-2,3)+1,0,2,4)))</f>
        <v/>
      </c>
    </row>
    <row r="352" ht="23.85" customHeight="1" s="24">
      <c r="A352" s="43" t="n">
        <v>351</v>
      </c>
      <c r="B352" s="44" t="inlineStr">
        <is>
          <t>Alto Império: de Augusto a Cômodo (27 a.C.–192 d.C.)</t>
        </is>
      </c>
      <c r="C352" s="45" t="inlineStr">
        <is>
          <t>41</t>
        </is>
      </c>
      <c r="D352" s="44" t="inlineStr">
        <is>
          <t>Cláudio é aclamado pelos pretorianos</t>
        </is>
      </c>
      <c r="E352" s="44" t="inlineStr">
        <is>
          <t>Castro Pretório, Roma</t>
        </is>
      </c>
      <c r="F352" s="45" t="inlineStr">
        <is>
          <t>Pendente</t>
        </is>
      </c>
      <c r="G352" s="45" t="n">
        <v>41</v>
      </c>
      <c r="H352" s="43" t="n">
        <v>305</v>
      </c>
      <c r="I352" s="46">
        <f>IF(H352=0,DATE(2026,10,29),IF(H352=1,DATE(2026,10,30),DATE(2026,11,2)+7*INT((H352-2)/3)+CHOOSE(MOD(H352-2,3)+1,0,2,4)))</f>
        <v/>
      </c>
    </row>
    <row r="353" ht="23.85" customHeight="1" s="24">
      <c r="A353" s="43" t="n">
        <v>352</v>
      </c>
      <c r="B353" s="44" t="inlineStr">
        <is>
          <t>Alto Império: de Augusto a Cômodo (27 a.C.–192 d.C.)</t>
        </is>
      </c>
      <c r="C353" s="45" t="inlineStr">
        <is>
          <t>43</t>
        </is>
      </c>
      <c r="D353" s="44" t="inlineStr">
        <is>
          <t>A conquista da Britânia</t>
        </is>
      </c>
      <c r="E353" s="44" t="inlineStr">
        <is>
          <t>A definir (Roma)</t>
        </is>
      </c>
      <c r="F353" s="45" t="inlineStr">
        <is>
          <t>Pendente</t>
        </is>
      </c>
      <c r="G353" s="45" t="n">
        <v>43</v>
      </c>
      <c r="H353" s="43" t="n">
        <v>306</v>
      </c>
      <c r="I353" s="46">
        <f>IF(H353=0,DATE(2026,10,29),IF(H353=1,DATE(2026,10,30),DATE(2026,11,2)+7*INT((H353-2)/3)+CHOOSE(MOD(H353-2,3)+1,0,2,4)))</f>
        <v/>
      </c>
    </row>
    <row r="354" ht="23.85" customHeight="1" s="24">
      <c r="A354" s="43" t="n">
        <v>353</v>
      </c>
      <c r="B354" s="44" t="inlineStr">
        <is>
          <t>Alto Império: de Augusto a Cômodo (27 a.C.–192 d.C.)</t>
        </is>
      </c>
      <c r="C354" s="45" t="inlineStr">
        <is>
          <t>44</t>
        </is>
      </c>
      <c r="D354" s="44" t="inlineStr">
        <is>
          <t>O porto de Óstia e Cláudio</t>
        </is>
      </c>
      <c r="E354" s="44" t="inlineStr">
        <is>
          <t>Óstia Antiga</t>
        </is>
      </c>
      <c r="F354" s="45" t="inlineStr">
        <is>
          <t>Pendente</t>
        </is>
      </c>
      <c r="G354" s="45" t="n">
        <v>44</v>
      </c>
      <c r="H354" s="43" t="n">
        <v>307</v>
      </c>
      <c r="I354" s="46">
        <f>IF(H354=0,DATE(2026,10,29),IF(H354=1,DATE(2026,10,30),DATE(2026,11,2)+7*INT((H354-2)/3)+CHOOSE(MOD(H354-2,3)+1,0,2,4)))</f>
        <v/>
      </c>
    </row>
    <row r="355" ht="23.85" customHeight="1" s="24">
      <c r="A355" s="43" t="n">
        <v>354</v>
      </c>
      <c r="B355" s="44" t="inlineStr">
        <is>
          <t>Alto Império: de Augusto a Cômodo (27 a.C.–192 d.C.)</t>
        </is>
      </c>
      <c r="C355" s="45" t="inlineStr">
        <is>
          <t>c. 45</t>
        </is>
      </c>
      <c r="D355" s="44" t="inlineStr">
        <is>
          <t>A escola e a educação em Roma</t>
        </is>
      </c>
      <c r="E355" s="44" t="inlineStr">
        <is>
          <t>A definir (Roma)</t>
        </is>
      </c>
      <c r="F355" s="45" t="inlineStr">
        <is>
          <t>Pendente</t>
        </is>
      </c>
      <c r="G355" s="45" t="n">
        <v>45</v>
      </c>
      <c r="H355" s="43" t="n">
        <v>308</v>
      </c>
      <c r="I355" s="46">
        <f>IF(H355=0,DATE(2026,10,29),IF(H355=1,DATE(2026,10,30),DATE(2026,11,2)+7*INT((H355-2)/3)+CHOOSE(MOD(H355-2,3)+1,0,2,4)))</f>
        <v/>
      </c>
    </row>
    <row r="356" ht="23.85" customHeight="1" s="24">
      <c r="A356" s="43" t="n">
        <v>355</v>
      </c>
      <c r="B356" s="44" t="inlineStr">
        <is>
          <t>Alto Império: de Augusto a Cômodo (27 a.C.–192 d.C.)</t>
        </is>
      </c>
      <c r="C356" s="45" t="inlineStr">
        <is>
          <t>49</t>
        </is>
      </c>
      <c r="D356" s="44" t="inlineStr">
        <is>
          <t>A expulsão dos judeus de Roma</t>
        </is>
      </c>
      <c r="E356" s="44" t="inlineStr">
        <is>
          <t>A definir (Roma)</t>
        </is>
      </c>
      <c r="F356" s="45" t="inlineStr">
        <is>
          <t>Pendente</t>
        </is>
      </c>
      <c r="G356" s="45" t="n">
        <v>49</v>
      </c>
      <c r="H356" s="43" t="n">
        <v>309</v>
      </c>
      <c r="I356" s="46">
        <f>IF(H356=0,DATE(2026,10,29),IF(H356=1,DATE(2026,10,30),DATE(2026,11,2)+7*INT((H356-2)/3)+CHOOSE(MOD(H356-2,3)+1,0,2,4)))</f>
        <v/>
      </c>
    </row>
    <row r="357" ht="23.85" customHeight="1" s="24">
      <c r="A357" s="43" t="n">
        <v>356</v>
      </c>
      <c r="B357" s="44" t="inlineStr">
        <is>
          <t>Alto Império: de Augusto a Cômodo (27 a.C.–192 d.C.)</t>
        </is>
      </c>
      <c r="C357" s="45" t="inlineStr">
        <is>
          <t>50</t>
        </is>
      </c>
      <c r="D357" s="44" t="inlineStr">
        <is>
          <t>A Porta Maior e o aqueduto de Cláudio</t>
        </is>
      </c>
      <c r="E357" s="44" t="inlineStr">
        <is>
          <t>Porta Maggiore, Roma</t>
        </is>
      </c>
      <c r="F357" s="45" t="inlineStr">
        <is>
          <t>Pendente</t>
        </is>
      </c>
      <c r="G357" s="45" t="n">
        <v>50</v>
      </c>
      <c r="H357" s="43" t="n">
        <v>310</v>
      </c>
      <c r="I357" s="46">
        <f>IF(H357=0,DATE(2026,10,29),IF(H357=1,DATE(2026,10,30),DATE(2026,11,2)+7*INT((H357-2)/3)+CHOOSE(MOD(H357-2,3)+1,0,2,4)))</f>
        <v/>
      </c>
    </row>
    <row r="358" ht="23.85" customHeight="1" s="24">
      <c r="A358" s="43" t="n">
        <v>357</v>
      </c>
      <c r="B358" s="44" t="inlineStr">
        <is>
          <t>Alto Império: de Augusto a Cômodo (27 a.C.–192 d.C.)</t>
        </is>
      </c>
      <c r="C358" s="45" t="inlineStr">
        <is>
          <t>c. 50</t>
        </is>
      </c>
      <c r="D358" s="44" t="inlineStr">
        <is>
          <t>As mulheres da casa imperial: Lívia, Agripina e Popeia</t>
        </is>
      </c>
      <c r="E358" s="44" t="inlineStr">
        <is>
          <t>Casa de Lívia, Palatino, Roma</t>
        </is>
      </c>
      <c r="F358" s="45" t="inlineStr">
        <is>
          <t>Pendente</t>
        </is>
      </c>
      <c r="G358" s="45" t="n">
        <v>50</v>
      </c>
      <c r="H358" s="43" t="n">
        <v>311</v>
      </c>
      <c r="I358" s="46">
        <f>IF(H358=0,DATE(2026,10,29),IF(H358=1,DATE(2026,10,30),DATE(2026,11,2)+7*INT((H358-2)/3)+CHOOSE(MOD(H358-2,3)+1,0,2,4)))</f>
        <v/>
      </c>
    </row>
    <row r="359" ht="23.85" customHeight="1" s="24">
      <c r="A359" s="43" t="n">
        <v>358</v>
      </c>
      <c r="B359" s="44" t="inlineStr">
        <is>
          <t>Alto Império: de Augusto a Cômodo (27 a.C.–192 d.C.)</t>
        </is>
      </c>
      <c r="C359" s="45" t="inlineStr">
        <is>
          <t>52</t>
        </is>
      </c>
      <c r="D359" s="44" t="inlineStr">
        <is>
          <t>O Aqua Claudia</t>
        </is>
      </c>
      <c r="E359" s="44" t="inlineStr">
        <is>
          <t>Parque dos Aquedutos, Roma</t>
        </is>
      </c>
      <c r="F359" s="45" t="inlineStr">
        <is>
          <t>Pendente</t>
        </is>
      </c>
      <c r="G359" s="45" t="n">
        <v>52</v>
      </c>
      <c r="H359" s="43" t="n">
        <v>312</v>
      </c>
      <c r="I359" s="46">
        <f>IF(H359=0,DATE(2026,10,29),IF(H359=1,DATE(2026,10,30),DATE(2026,11,2)+7*INT((H359-2)/3)+CHOOSE(MOD(H359-2,3)+1,0,2,4)))</f>
        <v/>
      </c>
    </row>
    <row r="360" ht="23.85" customHeight="1" s="24">
      <c r="A360" s="43" t="n">
        <v>359</v>
      </c>
      <c r="B360" s="44" t="inlineStr">
        <is>
          <t>Alto Império: de Augusto a Cômodo (27 a.C.–192 d.C.)</t>
        </is>
      </c>
      <c r="C360" s="45" t="inlineStr">
        <is>
          <t>54</t>
        </is>
      </c>
      <c r="D360" s="44" t="inlineStr">
        <is>
          <t>Nero: de aluno de Sêneca a imperador</t>
        </is>
      </c>
      <c r="E360" s="44" t="inlineStr">
        <is>
          <t>A definir (Roma)</t>
        </is>
      </c>
      <c r="F360" s="45" t="inlineStr">
        <is>
          <t>Pendente</t>
        </is>
      </c>
      <c r="G360" s="45" t="n">
        <v>54</v>
      </c>
      <c r="H360" s="43" t="n">
        <v>313</v>
      </c>
      <c r="I360" s="46">
        <f>IF(H360=0,DATE(2026,10,29),IF(H360=1,DATE(2026,10,30),DATE(2026,11,2)+7*INT((H360-2)/3)+CHOOSE(MOD(H360-2,3)+1,0,2,4)))</f>
        <v/>
      </c>
    </row>
    <row r="361" ht="23.85" customHeight="1" s="24">
      <c r="A361" s="43" t="n">
        <v>360</v>
      </c>
      <c r="B361" s="44" t="inlineStr">
        <is>
          <t>Alto Império: de Augusto a Cômodo (27 a.C.–192 d.C.)</t>
        </is>
      </c>
      <c r="C361" s="45" t="inlineStr">
        <is>
          <t>54</t>
        </is>
      </c>
      <c r="D361" s="44" t="inlineStr">
        <is>
          <t>Agripina e o veneno</t>
        </is>
      </c>
      <c r="E361" s="44" t="inlineStr">
        <is>
          <t>A definir (Roma)</t>
        </is>
      </c>
      <c r="F361" s="45" t="inlineStr">
        <is>
          <t>Pendente</t>
        </is>
      </c>
      <c r="G361" s="45" t="n">
        <v>54</v>
      </c>
      <c r="H361" s="43" t="n">
        <v>314</v>
      </c>
      <c r="I361" s="46">
        <f>IF(H361=0,DATE(2026,10,29),IF(H361=1,DATE(2026,10,30),DATE(2026,11,2)+7*INT((H361-2)/3)+CHOOSE(MOD(H361-2,3)+1,0,2,4)))</f>
        <v/>
      </c>
    </row>
    <row r="362" ht="23.85" customHeight="1" s="24">
      <c r="A362" s="43" t="n">
        <v>361</v>
      </c>
      <c r="B362" s="44" t="inlineStr">
        <is>
          <t>Alto Império: de Augusto a Cômodo (27 a.C.–192 d.C.)</t>
        </is>
      </c>
      <c r="C362" s="45" t="inlineStr">
        <is>
          <t>c. 55</t>
        </is>
      </c>
      <c r="D362" s="44" t="inlineStr">
        <is>
          <t>A medicina romana e o culto de Esculápio</t>
        </is>
      </c>
      <c r="E362" s="44" t="inlineStr">
        <is>
          <t>Ilha Tiberina, Roma</t>
        </is>
      </c>
      <c r="F362" s="45" t="inlineStr">
        <is>
          <t>Pendente</t>
        </is>
      </c>
      <c r="G362" s="45" t="n">
        <v>55</v>
      </c>
      <c r="H362" s="43" t="n">
        <v>315</v>
      </c>
      <c r="I362" s="46">
        <f>IF(H362=0,DATE(2026,10,29),IF(H362=1,DATE(2026,10,30),DATE(2026,11,2)+7*INT((H362-2)/3)+CHOOSE(MOD(H362-2,3)+1,0,2,4)))</f>
        <v/>
      </c>
    </row>
    <row r="363" ht="23.85" customHeight="1" s="24">
      <c r="A363" s="43" t="n">
        <v>362</v>
      </c>
      <c r="B363" s="44" t="inlineStr">
        <is>
          <t>Alto Império: de Augusto a Cômodo (27 a.C.–192 d.C.)</t>
        </is>
      </c>
      <c r="C363" s="45" t="inlineStr">
        <is>
          <t>59</t>
        </is>
      </c>
      <c r="D363" s="44" t="inlineStr">
        <is>
          <t>O assassinato de Agripina</t>
        </is>
      </c>
      <c r="E363" s="44" t="inlineStr">
        <is>
          <t>A definir (Roma)</t>
        </is>
      </c>
      <c r="F363" s="45" t="inlineStr">
        <is>
          <t>Pendente</t>
        </is>
      </c>
      <c r="G363" s="45" t="n">
        <v>59</v>
      </c>
      <c r="H363" s="43" t="n">
        <v>316</v>
      </c>
      <c r="I363" s="46">
        <f>IF(H363=0,DATE(2026,10,29),IF(H363=1,DATE(2026,10,30),DATE(2026,11,2)+7*INT((H363-2)/3)+CHOOSE(MOD(H363-2,3)+1,0,2,4)))</f>
        <v/>
      </c>
    </row>
    <row r="364" ht="23.85" customHeight="1" s="24">
      <c r="A364" s="43" t="n">
        <v>363</v>
      </c>
      <c r="B364" s="44" t="inlineStr">
        <is>
          <t>Alto Império: de Augusto a Cômodo (27 a.C.–192 d.C.)</t>
        </is>
      </c>
      <c r="C364" s="45" t="inlineStr">
        <is>
          <t>60</t>
        </is>
      </c>
      <c r="D364" s="44" t="inlineStr">
        <is>
          <t>Paulo de Tarso em Roma</t>
        </is>
      </c>
      <c r="E364" s="44" t="inlineStr">
        <is>
          <t>Catacumbas de São Paulo? São Paulo Fora dos Muros, Roma</t>
        </is>
      </c>
      <c r="F364" s="45" t="inlineStr">
        <is>
          <t>Pendente</t>
        </is>
      </c>
      <c r="G364" s="45" t="n">
        <v>60</v>
      </c>
      <c r="H364" s="43" t="n">
        <v>317</v>
      </c>
      <c r="I364" s="46">
        <f>IF(H364=0,DATE(2026,10,29),IF(H364=1,DATE(2026,10,30),DATE(2026,11,2)+7*INT((H364-2)/3)+CHOOSE(MOD(H364-2,3)+1,0,2,4)))</f>
        <v/>
      </c>
    </row>
    <row r="365" ht="23.85" customHeight="1" s="24">
      <c r="A365" s="43" t="n">
        <v>364</v>
      </c>
      <c r="B365" s="44" t="inlineStr">
        <is>
          <t>Alto Império: de Augusto a Cômodo (27 a.C.–192 d.C.)</t>
        </is>
      </c>
      <c r="C365" s="45" t="inlineStr">
        <is>
          <t>c. 60</t>
        </is>
      </c>
      <c r="D365" s="44" t="inlineStr">
        <is>
          <t>O Circo Máximo e as corridas de bigas</t>
        </is>
      </c>
      <c r="E365" s="44" t="inlineStr">
        <is>
          <t>Circo Máximo, Roma</t>
        </is>
      </c>
      <c r="F365" s="45" t="inlineStr">
        <is>
          <t>Pendente</t>
        </is>
      </c>
      <c r="G365" s="45" t="n">
        <v>60</v>
      </c>
      <c r="H365" s="43" t="n">
        <v>318</v>
      </c>
      <c r="I365" s="46">
        <f>IF(H365=0,DATE(2026,10,29),IF(H365=1,DATE(2026,10,30),DATE(2026,11,2)+7*INT((H365-2)/3)+CHOOSE(MOD(H365-2,3)+1,0,2,4)))</f>
        <v/>
      </c>
    </row>
    <row r="366" ht="23.85" customHeight="1" s="24">
      <c r="A366" s="43" t="n">
        <v>365</v>
      </c>
      <c r="B366" s="44" t="inlineStr">
        <is>
          <t>Alto Império: de Augusto a Cômodo (27 a.C.–192 d.C.)</t>
        </is>
      </c>
      <c r="C366" s="45" t="inlineStr">
        <is>
          <t>62</t>
        </is>
      </c>
      <c r="D366" s="44" t="inlineStr">
        <is>
          <t>A morte de Burro e o fim de Sêneca</t>
        </is>
      </c>
      <c r="E366" s="44" t="inlineStr">
        <is>
          <t>A definir (Roma)</t>
        </is>
      </c>
      <c r="F366" s="45" t="inlineStr">
        <is>
          <t>Pendente</t>
        </is>
      </c>
      <c r="G366" s="45" t="n">
        <v>62</v>
      </c>
      <c r="H366" s="43" t="n">
        <v>319</v>
      </c>
      <c r="I366" s="46">
        <f>IF(H366=0,DATE(2026,10,29),IF(H366=1,DATE(2026,10,30),DATE(2026,11,2)+7*INT((H366-2)/3)+CHOOSE(MOD(H366-2,3)+1,0,2,4)))</f>
        <v/>
      </c>
    </row>
    <row r="367" ht="23.85" customHeight="1" s="24">
      <c r="A367" s="43" t="n">
        <v>366</v>
      </c>
      <c r="B367" s="44" t="inlineStr">
        <is>
          <t>Alto Império: de Augusto a Cômodo (27 a.C.–192 d.C.)</t>
        </is>
      </c>
      <c r="C367" s="45" t="inlineStr">
        <is>
          <t>64</t>
        </is>
      </c>
      <c r="D367" s="44" t="inlineStr">
        <is>
          <t>O grande incêndio de Roma</t>
        </is>
      </c>
      <c r="E367" s="44" t="inlineStr">
        <is>
          <t>Fórum Romano, Roma</t>
        </is>
      </c>
      <c r="F367" s="45" t="inlineStr">
        <is>
          <t>Pendente</t>
        </is>
      </c>
      <c r="G367" s="45" t="n">
        <v>64</v>
      </c>
      <c r="H367" s="43" t="n">
        <v>320</v>
      </c>
      <c r="I367" s="46">
        <f>IF(H367=0,DATE(2026,10,29),IF(H367=1,DATE(2026,10,30),DATE(2026,11,2)+7*INT((H367-2)/3)+CHOOSE(MOD(H367-2,3)+1,0,2,4)))</f>
        <v/>
      </c>
    </row>
    <row r="368" ht="23.85" customHeight="1" s="24">
      <c r="A368" s="43" t="n">
        <v>367</v>
      </c>
      <c r="B368" s="44" t="inlineStr">
        <is>
          <t>Alto Império: de Augusto a Cômodo (27 a.C.–192 d.C.)</t>
        </is>
      </c>
      <c r="C368" s="45" t="inlineStr">
        <is>
          <t>64</t>
        </is>
      </c>
      <c r="D368" s="44" t="inlineStr">
        <is>
          <t>A perseguição aos cristãos sob Nero</t>
        </is>
      </c>
      <c r="E368" s="44" t="inlineStr">
        <is>
          <t>Basílica de São Pedro, Roma</t>
        </is>
      </c>
      <c r="F368" s="45" t="inlineStr">
        <is>
          <t>Pendente</t>
        </is>
      </c>
      <c r="G368" s="45" t="n">
        <v>64</v>
      </c>
      <c r="H368" s="43" t="n">
        <v>321</v>
      </c>
      <c r="I368" s="46">
        <f>IF(H368=0,DATE(2026,10,29),IF(H368=1,DATE(2026,10,30),DATE(2026,11,2)+7*INT((H368-2)/3)+CHOOSE(MOD(H368-2,3)+1,0,2,4)))</f>
        <v/>
      </c>
    </row>
    <row r="369" ht="23.85" customHeight="1" s="24">
      <c r="A369" s="43" t="n">
        <v>368</v>
      </c>
      <c r="B369" s="44" t="inlineStr">
        <is>
          <t>Alto Império: de Augusto a Cômodo (27 a.C.–192 d.C.)</t>
        </is>
      </c>
      <c r="C369" s="45" t="inlineStr">
        <is>
          <t>64</t>
        </is>
      </c>
      <c r="D369" s="44" t="inlineStr">
        <is>
          <t>A Domus Aurea</t>
        </is>
      </c>
      <c r="E369" s="44" t="inlineStr">
        <is>
          <t>Domus Aurea, Roma</t>
        </is>
      </c>
      <c r="F369" s="45" t="inlineStr">
        <is>
          <t>Pendente</t>
        </is>
      </c>
      <c r="G369" s="45" t="n">
        <v>64</v>
      </c>
      <c r="H369" s="43" t="n">
        <v>322</v>
      </c>
      <c r="I369" s="46">
        <f>IF(H369=0,DATE(2026,10,29),IF(H369=1,DATE(2026,10,30),DATE(2026,11,2)+7*INT((H369-2)/3)+CHOOSE(MOD(H369-2,3)+1,0,2,4)))</f>
        <v/>
      </c>
    </row>
    <row r="370" ht="23.85" customHeight="1" s="24">
      <c r="A370" s="43" t="n">
        <v>369</v>
      </c>
      <c r="B370" s="44" t="inlineStr">
        <is>
          <t>Alto Império: de Augusto a Cômodo (27 a.C.–192 d.C.)</t>
        </is>
      </c>
      <c r="C370" s="45" t="inlineStr">
        <is>
          <t>65</t>
        </is>
      </c>
      <c r="D370" s="44" t="inlineStr">
        <is>
          <t>A conspiração de Pisão e a morte de Sêneca</t>
        </is>
      </c>
      <c r="E370" s="44" t="inlineStr">
        <is>
          <t>A definir (Roma)</t>
        </is>
      </c>
      <c r="F370" s="45" t="inlineStr">
        <is>
          <t>Pendente</t>
        </is>
      </c>
      <c r="G370" s="45" t="n">
        <v>65</v>
      </c>
      <c r="H370" s="43" t="n">
        <v>323</v>
      </c>
      <c r="I370" s="46">
        <f>IF(H370=0,DATE(2026,10,29),IF(H370=1,DATE(2026,10,30),DATE(2026,11,2)+7*INT((H370-2)/3)+CHOOSE(MOD(H370-2,3)+1,0,2,4)))</f>
        <v/>
      </c>
    </row>
    <row r="371" ht="23.85" customHeight="1" s="24">
      <c r="A371" s="43" t="n">
        <v>370</v>
      </c>
      <c r="B371" s="44" t="inlineStr">
        <is>
          <t>Alto Império: de Augusto a Cômodo (27 a.C.–192 d.C.)</t>
        </is>
      </c>
      <c r="C371" s="45" t="inlineStr">
        <is>
          <t>65</t>
        </is>
      </c>
      <c r="D371" s="44" t="inlineStr">
        <is>
          <t>O martírio de Pedro e Paulo</t>
        </is>
      </c>
      <c r="E371" s="44" t="inlineStr">
        <is>
          <t>São Paulo Fora dos Muros, Roma</t>
        </is>
      </c>
      <c r="F371" s="45" t="inlineStr">
        <is>
          <t>Pendente</t>
        </is>
      </c>
      <c r="G371" s="45" t="n">
        <v>65</v>
      </c>
      <c r="H371" s="43" t="n">
        <v>324</v>
      </c>
      <c r="I371" s="46">
        <f>IF(H371=0,DATE(2026,10,29),IF(H371=1,DATE(2026,10,30),DATE(2026,11,2)+7*INT((H371-2)/3)+CHOOSE(MOD(H371-2,3)+1,0,2,4)))</f>
        <v/>
      </c>
    </row>
    <row r="372" ht="23.85" customHeight="1" s="24">
      <c r="A372" s="43" t="n">
        <v>371</v>
      </c>
      <c r="B372" s="44" t="inlineStr">
        <is>
          <t>Alto Império: de Augusto a Cômodo (27 a.C.–192 d.C.)</t>
        </is>
      </c>
      <c r="C372" s="45" t="inlineStr">
        <is>
          <t>c. 65</t>
        </is>
      </c>
      <c r="D372" s="44" t="inlineStr">
        <is>
          <t>Os gladiadores: vida e morte na arena</t>
        </is>
      </c>
      <c r="E372" s="44" t="inlineStr">
        <is>
          <t>Ludus Magnus, Roma</t>
        </is>
      </c>
      <c r="F372" s="45" t="inlineStr">
        <is>
          <t>Pendente</t>
        </is>
      </c>
      <c r="G372" s="45" t="n">
        <v>65</v>
      </c>
      <c r="H372" s="43" t="n">
        <v>325</v>
      </c>
      <c r="I372" s="46">
        <f>IF(H372=0,DATE(2026,10,29),IF(H372=1,DATE(2026,10,30),DATE(2026,11,2)+7*INT((H372-2)/3)+CHOOSE(MOD(H372-2,3)+1,0,2,4)))</f>
        <v/>
      </c>
    </row>
    <row r="373" ht="23.85" customHeight="1" s="24">
      <c r="A373" s="43" t="n">
        <v>372</v>
      </c>
      <c r="B373" s="44" t="inlineStr">
        <is>
          <t>Alto Império: de Augusto a Cômodo (27 a.C.–192 d.C.)</t>
        </is>
      </c>
      <c r="C373" s="45" t="inlineStr">
        <is>
          <t>c. 65</t>
        </is>
      </c>
      <c r="D373" s="44" t="inlineStr">
        <is>
          <t>Pedro e Paulo: tradições, túmulos e memória</t>
        </is>
      </c>
      <c r="E373" s="44" t="inlineStr">
        <is>
          <t>Basílica de São Pedro, Vaticano</t>
        </is>
      </c>
      <c r="F373" s="45" t="inlineStr">
        <is>
          <t>Pendente</t>
        </is>
      </c>
      <c r="G373" s="45" t="n">
        <v>65</v>
      </c>
      <c r="H373" s="43" t="n">
        <v>326</v>
      </c>
      <c r="I373" s="46">
        <f>IF(H373=0,DATE(2026,10,29),IF(H373=1,DATE(2026,10,30),DATE(2026,11,2)+7*INT((H373-2)/3)+CHOOSE(MOD(H373-2,3)+1,0,2,4)))</f>
        <v/>
      </c>
    </row>
    <row r="374" ht="23.85" customHeight="1" s="24">
      <c r="A374" s="43" t="n">
        <v>373</v>
      </c>
      <c r="B374" s="44" t="inlineStr">
        <is>
          <t>Alto Império: de Augusto a Cômodo (27 a.C.–192 d.C.)</t>
        </is>
      </c>
      <c r="C374" s="45" t="inlineStr">
        <is>
          <t>66</t>
        </is>
      </c>
      <c r="D374" s="44" t="inlineStr">
        <is>
          <t>A viagem de Nero à Grécia</t>
        </is>
      </c>
      <c r="E374" s="44" t="inlineStr">
        <is>
          <t>A definir (Roma)</t>
        </is>
      </c>
      <c r="F374" s="45" t="inlineStr">
        <is>
          <t>Pendente</t>
        </is>
      </c>
      <c r="G374" s="45" t="n">
        <v>66</v>
      </c>
      <c r="H374" s="43" t="n">
        <v>327</v>
      </c>
      <c r="I374" s="46">
        <f>IF(H374=0,DATE(2026,10,29),IF(H374=1,DATE(2026,10,30),DATE(2026,11,2)+7*INT((H374-2)/3)+CHOOSE(MOD(H374-2,3)+1,0,2,4)))</f>
        <v/>
      </c>
    </row>
    <row r="375" ht="23.85" customHeight="1" s="24">
      <c r="A375" s="43" t="n">
        <v>374</v>
      </c>
      <c r="B375" s="44" t="inlineStr">
        <is>
          <t>Alto Império: de Augusto a Cômodo (27 a.C.–192 d.C.)</t>
        </is>
      </c>
      <c r="C375" s="45" t="inlineStr">
        <is>
          <t>67</t>
        </is>
      </c>
      <c r="D375" s="44" t="inlineStr">
        <is>
          <t>O colosso de Nero</t>
        </is>
      </c>
      <c r="E375" s="44" t="inlineStr">
        <is>
          <t>A definir (Roma)</t>
        </is>
      </c>
      <c r="F375" s="45" t="inlineStr">
        <is>
          <t>Pendente</t>
        </is>
      </c>
      <c r="G375" s="45" t="n">
        <v>67</v>
      </c>
      <c r="H375" s="43" t="n">
        <v>328</v>
      </c>
      <c r="I375" s="46">
        <f>IF(H375=0,DATE(2026,10,29),IF(H375=1,DATE(2026,10,30),DATE(2026,11,2)+7*INT((H375-2)/3)+CHOOSE(MOD(H375-2,3)+1,0,2,4)))</f>
        <v/>
      </c>
    </row>
    <row r="376" ht="23.85" customHeight="1" s="24">
      <c r="A376" s="43" t="n">
        <v>375</v>
      </c>
      <c r="B376" s="44" t="inlineStr">
        <is>
          <t>Alto Império: de Augusto a Cômodo (27 a.C.–192 d.C.)</t>
        </is>
      </c>
      <c r="C376" s="45" t="inlineStr">
        <is>
          <t>68</t>
        </is>
      </c>
      <c r="D376" s="44" t="inlineStr">
        <is>
          <t>A queda de Nero</t>
        </is>
      </c>
      <c r="E376" s="44" t="inlineStr">
        <is>
          <t>A definir (Roma)</t>
        </is>
      </c>
      <c r="F376" s="45" t="inlineStr">
        <is>
          <t>Pendente</t>
        </is>
      </c>
      <c r="G376" s="45" t="n">
        <v>68</v>
      </c>
      <c r="H376" s="43" t="n">
        <v>329</v>
      </c>
      <c r="I376" s="46">
        <f>IF(H376=0,DATE(2026,10,29),IF(H376=1,DATE(2026,10,30),DATE(2026,11,2)+7*INT((H376-2)/3)+CHOOSE(MOD(H376-2,3)+1,0,2,4)))</f>
        <v/>
      </c>
    </row>
    <row r="377" ht="23.85" customHeight="1" s="24">
      <c r="A377" s="43" t="n">
        <v>376</v>
      </c>
      <c r="B377" s="44" t="inlineStr">
        <is>
          <t>Alto Império: de Augusto a Cômodo (27 a.C.–192 d.C.)</t>
        </is>
      </c>
      <c r="C377" s="45" t="inlineStr">
        <is>
          <t>68</t>
        </is>
      </c>
      <c r="D377" s="44" t="inlineStr">
        <is>
          <t>O ano dos quatro imperadores</t>
        </is>
      </c>
      <c r="E377" s="44" t="inlineStr">
        <is>
          <t>A definir (Roma)</t>
        </is>
      </c>
      <c r="F377" s="45" t="inlineStr">
        <is>
          <t>Pendente</t>
        </is>
      </c>
      <c r="G377" s="45" t="n">
        <v>68</v>
      </c>
      <c r="H377" s="43" t="n">
        <v>330</v>
      </c>
      <c r="I377" s="46">
        <f>IF(H377=0,DATE(2026,10,29),IF(H377=1,DATE(2026,10,30),DATE(2026,11,2)+7*INT((H377-2)/3)+CHOOSE(MOD(H377-2,3)+1,0,2,4)))</f>
        <v/>
      </c>
    </row>
    <row r="378" ht="23.85" customHeight="1" s="24">
      <c r="A378" s="43" t="n">
        <v>377</v>
      </c>
      <c r="B378" s="44" t="inlineStr">
        <is>
          <t>Alto Império: de Augusto a Cômodo (27 a.C.–192 d.C.)</t>
        </is>
      </c>
      <c r="C378" s="45" t="inlineStr">
        <is>
          <t>69</t>
        </is>
      </c>
      <c r="D378" s="44" t="inlineStr">
        <is>
          <t>Vespasiano: o general que fundou a dinastia flaviana</t>
        </is>
      </c>
      <c r="E378" s="44" t="inlineStr">
        <is>
          <t>A definir (Roma)</t>
        </is>
      </c>
      <c r="F378" s="45" t="inlineStr">
        <is>
          <t>Pendente</t>
        </is>
      </c>
      <c r="G378" s="45" t="n">
        <v>69</v>
      </c>
      <c r="H378" s="43" t="n">
        <v>331</v>
      </c>
      <c r="I378" s="46">
        <f>IF(H378=0,DATE(2026,10,29),IF(H378=1,DATE(2026,10,30),DATE(2026,11,2)+7*INT((H378-2)/3)+CHOOSE(MOD(H378-2,3)+1,0,2,4)))</f>
        <v/>
      </c>
    </row>
    <row r="379" ht="23.85" customHeight="1" s="24">
      <c r="A379" s="43" t="n">
        <v>378</v>
      </c>
      <c r="B379" s="44" t="inlineStr">
        <is>
          <t>Alto Império: de Augusto a Cômodo (27 a.C.–192 d.C.)</t>
        </is>
      </c>
      <c r="C379" s="45" t="inlineStr">
        <is>
          <t>69</t>
        </is>
      </c>
      <c r="D379" s="44" t="inlineStr">
        <is>
          <t>Vitélio e a batalha de Cremona</t>
        </is>
      </c>
      <c r="E379" s="44" t="inlineStr">
        <is>
          <t>Cremona</t>
        </is>
      </c>
      <c r="F379" s="45" t="inlineStr">
        <is>
          <t>Pendente</t>
        </is>
      </c>
      <c r="G379" s="45" t="n">
        <v>69</v>
      </c>
      <c r="H379" s="43" t="n">
        <v>332</v>
      </c>
      <c r="I379" s="46">
        <f>IF(H379=0,DATE(2026,10,29),IF(H379=1,DATE(2026,10,30),DATE(2026,11,2)+7*INT((H379-2)/3)+CHOOSE(MOD(H379-2,3)+1,0,2,4)))</f>
        <v/>
      </c>
    </row>
    <row r="380" ht="23.85" customHeight="1" s="24">
      <c r="A380" s="43" t="n">
        <v>379</v>
      </c>
      <c r="B380" s="44" t="inlineStr">
        <is>
          <t>Alto Império: de Augusto a Cômodo (27 a.C.–192 d.C.)</t>
        </is>
      </c>
      <c r="C380" s="45" t="inlineStr">
        <is>
          <t>70</t>
        </is>
      </c>
      <c r="D380" s="44" t="inlineStr">
        <is>
          <t>A destruição de Jerusalém e o Arco de Tito</t>
        </is>
      </c>
      <c r="E380" s="44" t="inlineStr">
        <is>
          <t>Arco de Tito, Roma</t>
        </is>
      </c>
      <c r="F380" s="45" t="inlineStr">
        <is>
          <t>Pendente</t>
        </is>
      </c>
      <c r="G380" s="45" t="n">
        <v>70</v>
      </c>
      <c r="H380" s="43" t="n">
        <v>333</v>
      </c>
      <c r="I380" s="46">
        <f>IF(H380=0,DATE(2026,10,29),IF(H380=1,DATE(2026,10,30),DATE(2026,11,2)+7*INT((H380-2)/3)+CHOOSE(MOD(H380-2,3)+1,0,2,4)))</f>
        <v/>
      </c>
    </row>
    <row r="381" ht="23.85" customHeight="1" s="24">
      <c r="A381" s="43" t="n">
        <v>380</v>
      </c>
      <c r="B381" s="44" t="inlineStr">
        <is>
          <t>Alto Império: de Augusto a Cômodo (27 a.C.–192 d.C.)</t>
        </is>
      </c>
      <c r="C381" s="45" t="inlineStr">
        <is>
          <t>70</t>
        </is>
      </c>
      <c r="D381" s="44" t="inlineStr">
        <is>
          <t>O Templo da Paz de Vespasiano</t>
        </is>
      </c>
      <c r="E381" s="44" t="inlineStr">
        <is>
          <t>Fórum da Paz, Roma</t>
        </is>
      </c>
      <c r="F381" s="45" t="inlineStr">
        <is>
          <t>Pendente</t>
        </is>
      </c>
      <c r="G381" s="45" t="n">
        <v>70</v>
      </c>
      <c r="H381" s="43" t="n">
        <v>334</v>
      </c>
      <c r="I381" s="46">
        <f>IF(H381=0,DATE(2026,10,29),IF(H381=1,DATE(2026,10,30),DATE(2026,11,2)+7*INT((H381-2)/3)+CHOOSE(MOD(H381-2,3)+1,0,2,4)))</f>
        <v/>
      </c>
    </row>
    <row r="382" ht="23.85" customHeight="1" s="24">
      <c r="A382" s="43" t="n">
        <v>381</v>
      </c>
      <c r="B382" s="44" t="inlineStr">
        <is>
          <t>Alto Império: de Augusto a Cômodo (27 a.C.–192 d.C.)</t>
        </is>
      </c>
      <c r="C382" s="45" t="inlineStr">
        <is>
          <t>70</t>
        </is>
      </c>
      <c r="D382" s="44" t="inlineStr">
        <is>
          <t>Os tesouros do Templo de Jerusalém em Roma</t>
        </is>
      </c>
      <c r="E382" s="44" t="inlineStr">
        <is>
          <t>Arco de Tito, Roma</t>
        </is>
      </c>
      <c r="F382" s="45" t="inlineStr">
        <is>
          <t>Pendente</t>
        </is>
      </c>
      <c r="G382" s="45" t="n">
        <v>70</v>
      </c>
      <c r="H382" s="43" t="n">
        <v>335</v>
      </c>
      <c r="I382" s="46">
        <f>IF(H382=0,DATE(2026,10,29),IF(H382=1,DATE(2026,10,30),DATE(2026,11,2)+7*INT((H382-2)/3)+CHOOSE(MOD(H382-2,3)+1,0,2,4)))</f>
        <v/>
      </c>
    </row>
    <row r="383" ht="23.85" customHeight="1" s="24">
      <c r="A383" s="43" t="n">
        <v>382</v>
      </c>
      <c r="B383" s="44" t="inlineStr">
        <is>
          <t>Alto Império: de Augusto a Cômodo (27 a.C.–192 d.C.)</t>
        </is>
      </c>
      <c r="C383" s="45" t="inlineStr">
        <is>
          <t>c. 70</t>
        </is>
      </c>
      <c r="D383" s="44" t="inlineStr">
        <is>
          <t>As primeiras comunidades cristãs de Roma</t>
        </is>
      </c>
      <c r="E383" s="44" t="inlineStr">
        <is>
          <t>Catacumbas de Priscila, Roma</t>
        </is>
      </c>
      <c r="F383" s="45" t="inlineStr">
        <is>
          <t>Pendente</t>
        </is>
      </c>
      <c r="G383" s="45" t="n">
        <v>70</v>
      </c>
      <c r="H383" s="43" t="n">
        <v>336</v>
      </c>
      <c r="I383" s="46">
        <f>IF(H383=0,DATE(2026,10,29),IF(H383=1,DATE(2026,10,30),DATE(2026,11,2)+7*INT((H383-2)/3)+CHOOSE(MOD(H383-2,3)+1,0,2,4)))</f>
        <v/>
      </c>
    </row>
    <row r="384" ht="23.85" customHeight="1" s="24">
      <c r="A384" s="43" t="n">
        <v>383</v>
      </c>
      <c r="B384" s="44" t="inlineStr">
        <is>
          <t>Alto Império: de Augusto a Cômodo (27 a.C.–192 d.C.)</t>
        </is>
      </c>
      <c r="C384" s="45" t="inlineStr">
        <is>
          <t>71</t>
        </is>
      </c>
      <c r="D384" s="44" t="inlineStr">
        <is>
          <t>O Fórum da Paz</t>
        </is>
      </c>
      <c r="E384" s="44" t="inlineStr">
        <is>
          <t>Fórum da Paz, Roma</t>
        </is>
      </c>
      <c r="F384" s="45" t="inlineStr">
        <is>
          <t>Pendente</t>
        </is>
      </c>
      <c r="G384" s="45" t="n">
        <v>71</v>
      </c>
      <c r="H384" s="43" t="n">
        <v>337</v>
      </c>
      <c r="I384" s="46">
        <f>IF(H384=0,DATE(2026,10,29),IF(H384=1,DATE(2026,10,30),DATE(2026,11,2)+7*INT((H384-2)/3)+CHOOSE(MOD(H384-2,3)+1,0,2,4)))</f>
        <v/>
      </c>
    </row>
    <row r="385" ht="23.85" customHeight="1" s="24">
      <c r="A385" s="43" t="n">
        <v>384</v>
      </c>
      <c r="B385" s="44" t="inlineStr">
        <is>
          <t>Alto Império: de Augusto a Cômodo (27 a.C.–192 d.C.)</t>
        </is>
      </c>
      <c r="C385" s="45" t="inlineStr">
        <is>
          <t>72</t>
        </is>
      </c>
      <c r="D385" s="44" t="inlineStr">
        <is>
          <t>Começa a construção do Anfiteatro Flávio</t>
        </is>
      </c>
      <c r="E385" s="44" t="inlineStr">
        <is>
          <t>Coliseu, Roma</t>
        </is>
      </c>
      <c r="F385" s="45" t="inlineStr">
        <is>
          <t>Pendente</t>
        </is>
      </c>
      <c r="G385" s="45" t="n">
        <v>72</v>
      </c>
      <c r="H385" s="43" t="n">
        <v>338</v>
      </c>
      <c r="I385" s="46">
        <f>IF(H385=0,DATE(2026,10,29),IF(H385=1,DATE(2026,10,30),DATE(2026,11,2)+7*INT((H385-2)/3)+CHOOSE(MOD(H385-2,3)+1,0,2,4)))</f>
        <v/>
      </c>
    </row>
    <row r="386" ht="23.85" customHeight="1" s="24">
      <c r="A386" s="43" t="n">
        <v>385</v>
      </c>
      <c r="B386" s="44" t="inlineStr">
        <is>
          <t>Alto Império: de Augusto a Cômodo (27 a.C.–192 d.C.)</t>
        </is>
      </c>
      <c r="C386" s="45" t="inlineStr">
        <is>
          <t>c. 75</t>
        </is>
      </c>
      <c r="D386" s="44" t="inlineStr">
        <is>
          <t>O Coliseu por dentro: o hipogeu e a engenharia</t>
        </is>
      </c>
      <c r="E386" s="44" t="inlineStr">
        <is>
          <t>Coliseu, Roma</t>
        </is>
      </c>
      <c r="F386" s="45" t="inlineStr">
        <is>
          <t>Pendente</t>
        </is>
      </c>
      <c r="G386" s="45" t="n">
        <v>75</v>
      </c>
      <c r="H386" s="43" t="n">
        <v>339</v>
      </c>
      <c r="I386" s="46">
        <f>IF(H386=0,DATE(2026,10,29),IF(H386=1,DATE(2026,10,30),DATE(2026,11,2)+7*INT((H386-2)/3)+CHOOSE(MOD(H386-2,3)+1,0,2,4)))</f>
        <v/>
      </c>
    </row>
    <row r="387" ht="23.85" customHeight="1" s="24">
      <c r="A387" s="43" t="n">
        <v>386</v>
      </c>
      <c r="B387" s="44" t="inlineStr">
        <is>
          <t>Alto Império: de Augusto a Cômodo (27 a.C.–192 d.C.)</t>
        </is>
      </c>
      <c r="C387" s="45" t="inlineStr">
        <is>
          <t>77</t>
        </is>
      </c>
      <c r="D387" s="44" t="inlineStr">
        <is>
          <t>Plínio, o Velho e a História Natural</t>
        </is>
      </c>
      <c r="E387" s="44" t="inlineStr">
        <is>
          <t>A definir (Roma)</t>
        </is>
      </c>
      <c r="F387" s="45" t="inlineStr">
        <is>
          <t>Pendente</t>
        </is>
      </c>
      <c r="G387" s="45" t="n">
        <v>77</v>
      </c>
      <c r="H387" s="43" t="n">
        <v>340</v>
      </c>
      <c r="I387" s="46">
        <f>IF(H387=0,DATE(2026,10,29),IF(H387=1,DATE(2026,10,30),DATE(2026,11,2)+7*INT((H387-2)/3)+CHOOSE(MOD(H387-2,3)+1,0,2,4)))</f>
        <v/>
      </c>
    </row>
    <row r="388" ht="23.85" customHeight="1" s="24">
      <c r="A388" s="43" t="n">
        <v>387</v>
      </c>
      <c r="B388" s="44" t="inlineStr">
        <is>
          <t>Alto Império: de Augusto a Cômodo (27 a.C.–192 d.C.)</t>
        </is>
      </c>
      <c r="C388" s="45" t="inlineStr">
        <is>
          <t>79</t>
        </is>
      </c>
      <c r="D388" s="44" t="inlineStr">
        <is>
          <t>A erupção do Vesúvio: Pompeia e Herculano</t>
        </is>
      </c>
      <c r="E388" s="44" t="inlineStr">
        <is>
          <t>Pompeia</t>
        </is>
      </c>
      <c r="F388" s="45" t="inlineStr">
        <is>
          <t>Pendente</t>
        </is>
      </c>
      <c r="G388" s="45" t="n">
        <v>79</v>
      </c>
      <c r="H388" s="43" t="n">
        <v>341</v>
      </c>
      <c r="I388" s="46">
        <f>IF(H388=0,DATE(2026,10,29),IF(H388=1,DATE(2026,10,30),DATE(2026,11,2)+7*INT((H388-2)/3)+CHOOSE(MOD(H388-2,3)+1,0,2,4)))</f>
        <v/>
      </c>
    </row>
    <row r="389" ht="23.85" customHeight="1" s="24">
      <c r="A389" s="43" t="n">
        <v>388</v>
      </c>
      <c r="B389" s="44" t="inlineStr">
        <is>
          <t>Alto Império: de Augusto a Cômodo (27 a.C.–192 d.C.)</t>
        </is>
      </c>
      <c r="C389" s="45" t="inlineStr">
        <is>
          <t>79</t>
        </is>
      </c>
      <c r="D389" s="44" t="inlineStr">
        <is>
          <t>Plínio, o Velho, morre no Vesúvio</t>
        </is>
      </c>
      <c r="E389" s="44" t="inlineStr">
        <is>
          <t>Miseno</t>
        </is>
      </c>
      <c r="F389" s="45" t="inlineStr">
        <is>
          <t>Pendente</t>
        </is>
      </c>
      <c r="G389" s="45" t="n">
        <v>79</v>
      </c>
      <c r="H389" s="43" t="n">
        <v>342</v>
      </c>
      <c r="I389" s="46">
        <f>IF(H389=0,DATE(2026,10,29),IF(H389=1,DATE(2026,10,30),DATE(2026,11,2)+7*INT((H389-2)/3)+CHOOSE(MOD(H389-2,3)+1,0,2,4)))</f>
        <v/>
      </c>
    </row>
    <row r="390" ht="23.85" customHeight="1" s="24">
      <c r="A390" s="43" t="n">
        <v>389</v>
      </c>
      <c r="B390" s="44" t="inlineStr">
        <is>
          <t>Alto Império: de Augusto a Cômodo (27 a.C.–192 d.C.)</t>
        </is>
      </c>
      <c r="C390" s="45" t="inlineStr">
        <is>
          <t>79</t>
        </is>
      </c>
      <c r="D390" s="44" t="inlineStr">
        <is>
          <t>A morte de Vespasiano</t>
        </is>
      </c>
      <c r="E390" s="44" t="inlineStr">
        <is>
          <t>A definir (Roma)</t>
        </is>
      </c>
      <c r="F390" s="45" t="inlineStr">
        <is>
          <t>Pendente</t>
        </is>
      </c>
      <c r="G390" s="45" t="n">
        <v>79</v>
      </c>
      <c r="H390" s="43" t="n">
        <v>343</v>
      </c>
      <c r="I390" s="46">
        <f>IF(H390=0,DATE(2026,10,29),IF(H390=1,DATE(2026,10,30),DATE(2026,11,2)+7*INT((H390-2)/3)+CHOOSE(MOD(H390-2,3)+1,0,2,4)))</f>
        <v/>
      </c>
    </row>
    <row r="391" ht="23.85" customHeight="1" s="24">
      <c r="A391" s="43" t="n">
        <v>390</v>
      </c>
      <c r="B391" s="44" t="inlineStr">
        <is>
          <t>Alto Império: de Augusto a Cômodo (27 a.C.–192 d.C.)</t>
        </is>
      </c>
      <c r="C391" s="45" t="inlineStr">
        <is>
          <t>79</t>
        </is>
      </c>
      <c r="D391" s="44" t="inlineStr">
        <is>
          <t>Tito, o imperador amado</t>
        </is>
      </c>
      <c r="E391" s="44" t="inlineStr">
        <is>
          <t>A definir (Roma)</t>
        </is>
      </c>
      <c r="F391" s="45" t="inlineStr">
        <is>
          <t>Pendente</t>
        </is>
      </c>
      <c r="G391" s="45" t="n">
        <v>79</v>
      </c>
      <c r="H391" s="43" t="n">
        <v>344</v>
      </c>
      <c r="I391" s="46">
        <f>IF(H391=0,DATE(2026,10,29),IF(H391=1,DATE(2026,10,30),DATE(2026,11,2)+7*INT((H391-2)/3)+CHOOSE(MOD(H391-2,3)+1,0,2,4)))</f>
        <v/>
      </c>
    </row>
    <row r="392" ht="23.85" customHeight="1" s="24">
      <c r="A392" s="43" t="n">
        <v>391</v>
      </c>
      <c r="B392" s="44" t="inlineStr">
        <is>
          <t>Alto Império: de Augusto a Cômodo (27 a.C.–192 d.C.)</t>
        </is>
      </c>
      <c r="C392" s="45" t="inlineStr">
        <is>
          <t>c. 79</t>
        </is>
      </c>
      <c r="D392" s="44" t="inlineStr">
        <is>
          <t>Pompeia: as casas e os afrescos</t>
        </is>
      </c>
      <c r="E392" s="44" t="inlineStr">
        <is>
          <t>Pompeia</t>
        </is>
      </c>
      <c r="F392" s="45" t="inlineStr">
        <is>
          <t>Pendente</t>
        </is>
      </c>
      <c r="G392" s="45" t="n">
        <v>79</v>
      </c>
      <c r="H392" s="43" t="n">
        <v>345</v>
      </c>
      <c r="I392" s="46">
        <f>IF(H392=0,DATE(2026,10,29),IF(H392=1,DATE(2026,10,30),DATE(2026,11,2)+7*INT((H392-2)/3)+CHOOSE(MOD(H392-2,3)+1,0,2,4)))</f>
        <v/>
      </c>
    </row>
    <row r="393" ht="23.85" customHeight="1" s="24">
      <c r="A393" s="43" t="n">
        <v>392</v>
      </c>
      <c r="B393" s="44" t="inlineStr">
        <is>
          <t>Alto Império: de Augusto a Cômodo (27 a.C.–192 d.C.)</t>
        </is>
      </c>
      <c r="C393" s="45" t="inlineStr">
        <is>
          <t>c. 79</t>
        </is>
      </c>
      <c r="D393" s="44" t="inlineStr">
        <is>
          <t>Herculano: a cidade preservada</t>
        </is>
      </c>
      <c r="E393" s="44" t="inlineStr">
        <is>
          <t>Herculano</t>
        </is>
      </c>
      <c r="F393" s="45" t="inlineStr">
        <is>
          <t>Pendente</t>
        </is>
      </c>
      <c r="G393" s="45" t="n">
        <v>79</v>
      </c>
      <c r="H393" s="43" t="n">
        <v>346</v>
      </c>
      <c r="I393" s="46">
        <f>IF(H393=0,DATE(2026,10,29),IF(H393=1,DATE(2026,10,30),DATE(2026,11,2)+7*INT((H393-2)/3)+CHOOSE(MOD(H393-2,3)+1,0,2,4)))</f>
        <v/>
      </c>
    </row>
    <row r="394" ht="23.85" customHeight="1" s="24">
      <c r="A394" s="43" t="n">
        <v>393</v>
      </c>
      <c r="B394" s="44" t="inlineStr">
        <is>
          <t>Alto Império: de Augusto a Cômodo (27 a.C.–192 d.C.)</t>
        </is>
      </c>
      <c r="C394" s="45" t="inlineStr">
        <is>
          <t>c. 79</t>
        </is>
      </c>
      <c r="D394" s="44" t="inlineStr">
        <is>
          <t>Os mosaicos de Pompeia no Museu de Nápoles</t>
        </is>
      </c>
      <c r="E394" s="44" t="inlineStr">
        <is>
          <t>Museu Arqueológico Nacional, Nápoles</t>
        </is>
      </c>
      <c r="F394" s="45" t="inlineStr">
        <is>
          <t>Pendente</t>
        </is>
      </c>
      <c r="G394" s="45" t="n">
        <v>79</v>
      </c>
      <c r="H394" s="43" t="n">
        <v>347</v>
      </c>
      <c r="I394" s="46">
        <f>IF(H394=0,DATE(2026,10,29),IF(H394=1,DATE(2026,10,30),DATE(2026,11,2)+7*INT((H394-2)/3)+CHOOSE(MOD(H394-2,3)+1,0,2,4)))</f>
        <v/>
      </c>
    </row>
    <row r="395" ht="23.85" customHeight="1" s="24">
      <c r="A395" s="43" t="n">
        <v>394</v>
      </c>
      <c r="B395" s="44" t="inlineStr">
        <is>
          <t>Alto Império: de Augusto a Cômodo (27 a.C.–192 d.C.)</t>
        </is>
      </c>
      <c r="C395" s="45" t="inlineStr">
        <is>
          <t>80</t>
        </is>
      </c>
      <c r="D395" s="44" t="inlineStr">
        <is>
          <t>A inauguração do Coliseu</t>
        </is>
      </c>
      <c r="E395" s="44" t="inlineStr">
        <is>
          <t>Coliseu, Roma</t>
        </is>
      </c>
      <c r="F395" s="45" t="inlineStr">
        <is>
          <t>Pendente</t>
        </is>
      </c>
      <c r="G395" s="45" t="n">
        <v>80</v>
      </c>
      <c r="H395" s="43" t="n">
        <v>348</v>
      </c>
      <c r="I395" s="46">
        <f>IF(H395=0,DATE(2026,10,29),IF(H395=1,DATE(2026,10,30),DATE(2026,11,2)+7*INT((H395-2)/3)+CHOOSE(MOD(H395-2,3)+1,0,2,4)))</f>
        <v/>
      </c>
    </row>
    <row r="396" ht="23.85" customHeight="1" s="24">
      <c r="A396" s="43" t="n">
        <v>395</v>
      </c>
      <c r="B396" s="44" t="inlineStr">
        <is>
          <t>Alto Império: de Augusto a Cômodo (27 a.C.–192 d.C.)</t>
        </is>
      </c>
      <c r="C396" s="45" t="inlineStr">
        <is>
          <t>80</t>
        </is>
      </c>
      <c r="D396" s="44" t="inlineStr">
        <is>
          <t>Os jogos de 100 dias</t>
        </is>
      </c>
      <c r="E396" s="44" t="inlineStr">
        <is>
          <t>Coliseu, Roma</t>
        </is>
      </c>
      <c r="F396" s="45" t="inlineStr">
        <is>
          <t>Pendente</t>
        </is>
      </c>
      <c r="G396" s="45" t="n">
        <v>80</v>
      </c>
      <c r="H396" s="43" t="n">
        <v>349</v>
      </c>
      <c r="I396" s="46">
        <f>IF(H396=0,DATE(2026,10,29),IF(H396=1,DATE(2026,10,30),DATE(2026,11,2)+7*INT((H396-2)/3)+CHOOSE(MOD(H396-2,3)+1,0,2,4)))</f>
        <v/>
      </c>
    </row>
    <row r="397" ht="23.85" customHeight="1" s="24">
      <c r="A397" s="43" t="n">
        <v>396</v>
      </c>
      <c r="B397" s="44" t="inlineStr">
        <is>
          <t>Alto Império: de Augusto a Cômodo (27 a.C.–192 d.C.)</t>
        </is>
      </c>
      <c r="C397" s="45" t="inlineStr">
        <is>
          <t>80</t>
        </is>
      </c>
      <c r="D397" s="44" t="inlineStr">
        <is>
          <t>As Termas de Tito</t>
        </is>
      </c>
      <c r="E397" s="44" t="inlineStr">
        <is>
          <t>Domus Aurea, Roma</t>
        </is>
      </c>
      <c r="F397" s="45" t="inlineStr">
        <is>
          <t>Pendente</t>
        </is>
      </c>
      <c r="G397" s="45" t="n">
        <v>80</v>
      </c>
      <c r="H397" s="43" t="n">
        <v>350</v>
      </c>
      <c r="I397" s="46">
        <f>IF(H397=0,DATE(2026,10,29),IF(H397=1,DATE(2026,10,30),DATE(2026,11,2)+7*INT((H397-2)/3)+CHOOSE(MOD(H397-2,3)+1,0,2,4)))</f>
        <v/>
      </c>
    </row>
    <row r="398" ht="23.85" customHeight="1" s="24">
      <c r="A398" s="43" t="n">
        <v>397</v>
      </c>
      <c r="B398" s="44" t="inlineStr">
        <is>
          <t>Alto Império: de Augusto a Cômodo (27 a.C.–192 d.C.)</t>
        </is>
      </c>
      <c r="C398" s="45" t="inlineStr">
        <is>
          <t>81</t>
        </is>
      </c>
      <c r="D398" s="44" t="inlineStr">
        <is>
          <t>O Arco de Tito e a vitória sobre os judeus</t>
        </is>
      </c>
      <c r="E398" s="44" t="inlineStr">
        <is>
          <t>Arco de Tito, Roma</t>
        </is>
      </c>
      <c r="F398" s="45" t="inlineStr">
        <is>
          <t>Pendente</t>
        </is>
      </c>
      <c r="G398" s="45" t="n">
        <v>81</v>
      </c>
      <c r="H398" s="43" t="n">
        <v>351</v>
      </c>
      <c r="I398" s="46">
        <f>IF(H398=0,DATE(2026,10,29),IF(H398=1,DATE(2026,10,30),DATE(2026,11,2)+7*INT((H398-2)/3)+CHOOSE(MOD(H398-2,3)+1,0,2,4)))</f>
        <v/>
      </c>
    </row>
    <row r="399" ht="23.85" customHeight="1" s="24">
      <c r="A399" s="43" t="n">
        <v>398</v>
      </c>
      <c r="B399" s="44" t="inlineStr">
        <is>
          <t>Alto Império: de Augusto a Cômodo (27 a.C.–192 d.C.)</t>
        </is>
      </c>
      <c r="C399" s="45" t="inlineStr">
        <is>
          <t>81</t>
        </is>
      </c>
      <c r="D399" s="44" t="inlineStr">
        <is>
          <t>Domiciano e o Estádio</t>
        </is>
      </c>
      <c r="E399" s="44" t="inlineStr">
        <is>
          <t>Piazza Navona, Roma</t>
        </is>
      </c>
      <c r="F399" s="45" t="inlineStr">
        <is>
          <t>Pendente</t>
        </is>
      </c>
      <c r="G399" s="45" t="n">
        <v>81</v>
      </c>
      <c r="H399" s="43" t="n">
        <v>352</v>
      </c>
      <c r="I399" s="46">
        <f>IF(H399=0,DATE(2026,10,29),IF(H399=1,DATE(2026,10,30),DATE(2026,11,2)+7*INT((H399-2)/3)+CHOOSE(MOD(H399-2,3)+1,0,2,4)))</f>
        <v/>
      </c>
    </row>
    <row r="400" ht="23.85" customHeight="1" s="24">
      <c r="A400" s="43" t="n">
        <v>399</v>
      </c>
      <c r="B400" s="44" t="inlineStr">
        <is>
          <t>Alto Império: de Augusto a Cômodo (27 a.C.–192 d.C.)</t>
        </is>
      </c>
      <c r="C400" s="45" t="inlineStr">
        <is>
          <t>83</t>
        </is>
      </c>
      <c r="D400" s="44" t="inlineStr">
        <is>
          <t>O Palácio de Domiciano</t>
        </is>
      </c>
      <c r="E400" s="44" t="inlineStr">
        <is>
          <t>Palatino, Roma</t>
        </is>
      </c>
      <c r="F400" s="45" t="inlineStr">
        <is>
          <t>Pendente</t>
        </is>
      </c>
      <c r="G400" s="45" t="n">
        <v>83</v>
      </c>
      <c r="H400" s="43" t="n">
        <v>353</v>
      </c>
      <c r="I400" s="46">
        <f>IF(H400=0,DATE(2026,10,29),IF(H400=1,DATE(2026,10,30),DATE(2026,11,2)+7*INT((H400-2)/3)+CHOOSE(MOD(H400-2,3)+1,0,2,4)))</f>
        <v/>
      </c>
    </row>
    <row r="401" ht="23.85" customHeight="1" s="24">
      <c r="A401" s="43" t="n">
        <v>400</v>
      </c>
      <c r="B401" s="44" t="inlineStr">
        <is>
          <t>Alto Império: de Augusto a Cômodo (27 a.C.–192 d.C.)</t>
        </is>
      </c>
      <c r="C401" s="45" t="inlineStr">
        <is>
          <t>85</t>
        </is>
      </c>
      <c r="D401" s="44" t="inlineStr">
        <is>
          <t>Os jogos de Domiciano</t>
        </is>
      </c>
      <c r="E401" s="44" t="inlineStr">
        <is>
          <t>A definir (Roma)</t>
        </is>
      </c>
      <c r="F401" s="45" t="inlineStr">
        <is>
          <t>Pendente</t>
        </is>
      </c>
      <c r="G401" s="45" t="n">
        <v>85</v>
      </c>
      <c r="H401" s="43" t="n">
        <v>354</v>
      </c>
      <c r="I401" s="46">
        <f>IF(H401=0,DATE(2026,10,29),IF(H401=1,DATE(2026,10,30),DATE(2026,11,2)+7*INT((H401-2)/3)+CHOOSE(MOD(H401-2,3)+1,0,2,4)))</f>
        <v/>
      </c>
    </row>
    <row r="402" ht="23.85" customHeight="1" s="24">
      <c r="A402" s="43" t="n">
        <v>401</v>
      </c>
      <c r="B402" s="44" t="inlineStr">
        <is>
          <t>Alto Império: de Augusto a Cômodo (27 a.C.–192 d.C.)</t>
        </is>
      </c>
      <c r="C402" s="45" t="inlineStr">
        <is>
          <t>c. 85</t>
        </is>
      </c>
      <c r="D402" s="44" t="inlineStr">
        <is>
          <t>A construção do Panteão: concreto e cúpula</t>
        </is>
      </c>
      <c r="E402" s="44" t="inlineStr">
        <is>
          <t>Panteão, Roma</t>
        </is>
      </c>
      <c r="F402" s="45" t="inlineStr">
        <is>
          <t>Pendente</t>
        </is>
      </c>
      <c r="G402" s="45" t="n">
        <v>85</v>
      </c>
      <c r="H402" s="43" t="n">
        <v>355</v>
      </c>
      <c r="I402" s="46">
        <f>IF(H402=0,DATE(2026,10,29),IF(H402=1,DATE(2026,10,30),DATE(2026,11,2)+7*INT((H402-2)/3)+CHOOSE(MOD(H402-2,3)+1,0,2,4)))</f>
        <v/>
      </c>
    </row>
    <row r="403" ht="23.85" customHeight="1" s="24">
      <c r="A403" s="43" t="n">
        <v>402</v>
      </c>
      <c r="B403" s="44" t="inlineStr">
        <is>
          <t>Alto Império: de Augusto a Cômodo (27 a.C.–192 d.C.)</t>
        </is>
      </c>
      <c r="C403" s="45" t="inlineStr">
        <is>
          <t>88</t>
        </is>
      </c>
      <c r="D403" s="44" t="inlineStr">
        <is>
          <t>Os Jogos Seculares de Domiciano</t>
        </is>
      </c>
      <c r="E403" s="44" t="inlineStr">
        <is>
          <t>A definir (Roma)</t>
        </is>
      </c>
      <c r="F403" s="45" t="inlineStr">
        <is>
          <t>Pendente</t>
        </is>
      </c>
      <c r="G403" s="45" t="n">
        <v>88</v>
      </c>
      <c r="H403" s="43" t="n">
        <v>356</v>
      </c>
      <c r="I403" s="46">
        <f>IF(H403=0,DATE(2026,10,29),IF(H403=1,DATE(2026,10,30),DATE(2026,11,2)+7*INT((H403-2)/3)+CHOOSE(MOD(H403-2,3)+1,0,2,4)))</f>
        <v/>
      </c>
    </row>
    <row r="404" ht="23.85" customHeight="1" s="24">
      <c r="A404" s="43" t="n">
        <v>403</v>
      </c>
      <c r="B404" s="44" t="inlineStr">
        <is>
          <t>Alto Império: de Augusto a Cômodo (27 a.C.–192 d.C.)</t>
        </is>
      </c>
      <c r="C404" s="45" t="inlineStr">
        <is>
          <t>c. 90</t>
        </is>
      </c>
      <c r="D404" s="44" t="inlineStr">
        <is>
          <t>Os aquedutos de Roma</t>
        </is>
      </c>
      <c r="E404" s="44" t="inlineStr">
        <is>
          <t>Parque dos Aquedutos, Roma</t>
        </is>
      </c>
      <c r="F404" s="45" t="inlineStr">
        <is>
          <t>Pendente</t>
        </is>
      </c>
      <c r="G404" s="45" t="n">
        <v>90</v>
      </c>
      <c r="H404" s="43" t="n">
        <v>357</v>
      </c>
      <c r="I404" s="46">
        <f>IF(H404=0,DATE(2026,10,29),IF(H404=1,DATE(2026,10,30),DATE(2026,11,2)+7*INT((H404-2)/3)+CHOOSE(MOD(H404-2,3)+1,0,2,4)))</f>
        <v/>
      </c>
    </row>
    <row r="405" ht="23.85" customHeight="1" s="24">
      <c r="A405" s="43" t="n">
        <v>404</v>
      </c>
      <c r="B405" s="44" t="inlineStr">
        <is>
          <t>Alto Império: de Augusto a Cômodo (27 a.C.–192 d.C.)</t>
        </is>
      </c>
      <c r="C405" s="45" t="inlineStr">
        <is>
          <t>92</t>
        </is>
      </c>
      <c r="D405" s="44" t="inlineStr">
        <is>
          <t>Marcial e os epigramas</t>
        </is>
      </c>
      <c r="E405" s="44" t="inlineStr">
        <is>
          <t>A definir (Roma)</t>
        </is>
      </c>
      <c r="F405" s="45" t="inlineStr">
        <is>
          <t>Pendente</t>
        </is>
      </c>
      <c r="G405" s="45" t="n">
        <v>92</v>
      </c>
      <c r="H405" s="43" t="n">
        <v>358</v>
      </c>
      <c r="I405" s="46">
        <f>IF(H405=0,DATE(2026,10,29),IF(H405=1,DATE(2026,10,30),DATE(2026,11,2)+7*INT((H405-2)/3)+CHOOSE(MOD(H405-2,3)+1,0,2,4)))</f>
        <v/>
      </c>
    </row>
    <row r="406" ht="23.85" customHeight="1" s="24">
      <c r="A406" s="43" t="n">
        <v>405</v>
      </c>
      <c r="B406" s="44" t="inlineStr">
        <is>
          <t>Alto Império: de Augusto a Cômodo (27 a.C.–192 d.C.)</t>
        </is>
      </c>
      <c r="C406" s="45" t="inlineStr">
        <is>
          <t>93</t>
        </is>
      </c>
      <c r="D406" s="44" t="inlineStr">
        <is>
          <t>As Vestais condenadas</t>
        </is>
      </c>
      <c r="E406" s="44" t="inlineStr">
        <is>
          <t>Casa das Vestais, Roma</t>
        </is>
      </c>
      <c r="F406" s="45" t="inlineStr">
        <is>
          <t>Pendente</t>
        </is>
      </c>
      <c r="G406" s="45" t="n">
        <v>93</v>
      </c>
      <c r="H406" s="43" t="n">
        <v>359</v>
      </c>
      <c r="I406" s="46">
        <f>IF(H406=0,DATE(2026,10,29),IF(H406=1,DATE(2026,10,30),DATE(2026,11,2)+7*INT((H406-2)/3)+CHOOSE(MOD(H406-2,3)+1,0,2,4)))</f>
        <v/>
      </c>
    </row>
    <row r="407" ht="23.85" customHeight="1" s="24">
      <c r="A407" s="43" t="n">
        <v>406</v>
      </c>
      <c r="B407" s="44" t="inlineStr">
        <is>
          <t>Alto Império: de Augusto a Cômodo (27 a.C.–192 d.C.)</t>
        </is>
      </c>
      <c r="C407" s="45" t="inlineStr">
        <is>
          <t>95</t>
        </is>
      </c>
      <c r="D407" s="44" t="inlineStr">
        <is>
          <t>A perseguição de Domiciano</t>
        </is>
      </c>
      <c r="E407" s="44" t="inlineStr">
        <is>
          <t>A definir (Roma)</t>
        </is>
      </c>
      <c r="F407" s="45" t="inlineStr">
        <is>
          <t>Pendente</t>
        </is>
      </c>
      <c r="G407" s="45" t="n">
        <v>95</v>
      </c>
      <c r="H407" s="43" t="n">
        <v>360</v>
      </c>
      <c r="I407" s="46">
        <f>IF(H407=0,DATE(2026,10,29),IF(H407=1,DATE(2026,10,30),DATE(2026,11,2)+7*INT((H407-2)/3)+CHOOSE(MOD(H407-2,3)+1,0,2,4)))</f>
        <v/>
      </c>
    </row>
    <row r="408" ht="23.85" customHeight="1" s="24">
      <c r="A408" s="43" t="n">
        <v>407</v>
      </c>
      <c r="B408" s="44" t="inlineStr">
        <is>
          <t>Alto Império: de Augusto a Cômodo (27 a.C.–192 d.C.)</t>
        </is>
      </c>
      <c r="C408" s="45" t="inlineStr">
        <is>
          <t>c. 95</t>
        </is>
      </c>
      <c r="D408" s="44" t="inlineStr">
        <is>
          <t>O Fórum Romano: roteiro pelas ruínas</t>
        </is>
      </c>
      <c r="E408" s="44" t="inlineStr">
        <is>
          <t>Fórum Romano, Roma</t>
        </is>
      </c>
      <c r="F408" s="45" t="inlineStr">
        <is>
          <t>Pendente</t>
        </is>
      </c>
      <c r="G408" s="45" t="n">
        <v>95</v>
      </c>
      <c r="H408" s="43" t="n">
        <v>361</v>
      </c>
      <c r="I408" s="46">
        <f>IF(H408=0,DATE(2026,10,29),IF(H408=1,DATE(2026,10,30),DATE(2026,11,2)+7*INT((H408-2)/3)+CHOOSE(MOD(H408-2,3)+1,0,2,4)))</f>
        <v/>
      </c>
    </row>
    <row r="409" ht="23.85" customHeight="1" s="24">
      <c r="A409" s="43" t="n">
        <v>408</v>
      </c>
      <c r="B409" s="44" t="inlineStr">
        <is>
          <t>Alto Império: de Augusto a Cômodo (27 a.C.–192 d.C.)</t>
        </is>
      </c>
      <c r="C409" s="45" t="inlineStr">
        <is>
          <t>96</t>
        </is>
      </c>
      <c r="D409" s="44" t="inlineStr">
        <is>
          <t>O assassinato de Domiciano</t>
        </is>
      </c>
      <c r="E409" s="44" t="inlineStr">
        <is>
          <t>Palatino, Roma</t>
        </is>
      </c>
      <c r="F409" s="45" t="inlineStr">
        <is>
          <t>Pendente</t>
        </is>
      </c>
      <c r="G409" s="45" t="n">
        <v>96</v>
      </c>
      <c r="H409" s="43" t="n">
        <v>362</v>
      </c>
      <c r="I409" s="46">
        <f>IF(H409=0,DATE(2026,10,29),IF(H409=1,DATE(2026,10,30),DATE(2026,11,2)+7*INT((H409-2)/3)+CHOOSE(MOD(H409-2,3)+1,0,2,4)))</f>
        <v/>
      </c>
    </row>
    <row r="410" ht="23.85" customHeight="1" s="24">
      <c r="A410" s="43" t="n">
        <v>409</v>
      </c>
      <c r="B410" s="44" t="inlineStr">
        <is>
          <t>Alto Império: de Augusto a Cômodo (27 a.C.–192 d.C.)</t>
        </is>
      </c>
      <c r="C410" s="45" t="inlineStr">
        <is>
          <t>96</t>
        </is>
      </c>
      <c r="D410" s="44" t="inlineStr">
        <is>
          <t>Nerva: o imperador idoso</t>
        </is>
      </c>
      <c r="E410" s="44" t="inlineStr">
        <is>
          <t>Fórum de Nerva, Roma</t>
        </is>
      </c>
      <c r="F410" s="45" t="inlineStr">
        <is>
          <t>Pendente</t>
        </is>
      </c>
      <c r="G410" s="45" t="n">
        <v>96</v>
      </c>
      <c r="H410" s="43" t="n">
        <v>363</v>
      </c>
      <c r="I410" s="46">
        <f>IF(H410=0,DATE(2026,10,29),IF(H410=1,DATE(2026,10,30),DATE(2026,11,2)+7*INT((H410-2)/3)+CHOOSE(MOD(H410-2,3)+1,0,2,4)))</f>
        <v/>
      </c>
    </row>
    <row r="411" ht="23.85" customHeight="1" s="24">
      <c r="A411" s="43" t="n">
        <v>410</v>
      </c>
      <c r="B411" s="44" t="inlineStr">
        <is>
          <t>Alto Império: de Augusto a Cômodo (27 a.C.–192 d.C.)</t>
        </is>
      </c>
      <c r="C411" s="45" t="inlineStr">
        <is>
          <t>98</t>
        </is>
      </c>
      <c r="D411" s="44" t="inlineStr">
        <is>
          <t>Trajano: o primeiro imperador provincial</t>
        </is>
      </c>
      <c r="E411" s="44" t="inlineStr">
        <is>
          <t>A definir (Roma)</t>
        </is>
      </c>
      <c r="F411" s="45" t="inlineStr">
        <is>
          <t>Pendente</t>
        </is>
      </c>
      <c r="G411" s="45" t="n">
        <v>98</v>
      </c>
      <c r="H411" s="43" t="n">
        <v>364</v>
      </c>
      <c r="I411" s="46">
        <f>IF(H411=0,DATE(2026,10,29),IF(H411=1,DATE(2026,10,30),DATE(2026,11,2)+7*INT((H411-2)/3)+CHOOSE(MOD(H411-2,3)+1,0,2,4)))</f>
        <v/>
      </c>
    </row>
    <row r="412" ht="23.85" customHeight="1" s="24">
      <c r="A412" s="43" t="n">
        <v>411</v>
      </c>
      <c r="B412" s="44" t="inlineStr">
        <is>
          <t>Alto Império: de Augusto a Cômodo (27 a.C.–192 d.C.)</t>
        </is>
      </c>
      <c r="C412" s="45" t="inlineStr">
        <is>
          <t>98</t>
        </is>
      </c>
      <c r="D412" s="44" t="inlineStr">
        <is>
          <t>Tácito e a Germânia</t>
        </is>
      </c>
      <c r="E412" s="44" t="inlineStr">
        <is>
          <t>A definir (Roma)</t>
        </is>
      </c>
      <c r="F412" s="45" t="inlineStr">
        <is>
          <t>Pendente</t>
        </is>
      </c>
      <c r="G412" s="45" t="n">
        <v>98</v>
      </c>
      <c r="H412" s="43" t="n">
        <v>365</v>
      </c>
      <c r="I412" s="46">
        <f>IF(H412=0,DATE(2026,10,29),IF(H412=1,DATE(2026,10,30),DATE(2026,11,2)+7*INT((H412-2)/3)+CHOOSE(MOD(H412-2,3)+1,0,2,4)))</f>
        <v/>
      </c>
    </row>
    <row r="413" ht="23.85" customHeight="1" s="24">
      <c r="A413" s="43" t="n">
        <v>412</v>
      </c>
      <c r="B413" s="44" t="inlineStr">
        <is>
          <t>Alto Império: de Augusto a Cômodo (27 a.C.–192 d.C.)</t>
        </is>
      </c>
      <c r="C413" s="45" t="inlineStr">
        <is>
          <t>100</t>
        </is>
      </c>
      <c r="D413" s="44" t="inlineStr">
        <is>
          <t>Plínio, o Jovem e o Panegírico</t>
        </is>
      </c>
      <c r="E413" s="44" t="inlineStr">
        <is>
          <t>A definir (Roma)</t>
        </is>
      </c>
      <c r="F413" s="45" t="inlineStr">
        <is>
          <t>Pendente</t>
        </is>
      </c>
      <c r="G413" s="45" t="n">
        <v>100</v>
      </c>
      <c r="H413" s="43" t="n">
        <v>366</v>
      </c>
      <c r="I413" s="46">
        <f>IF(H413=0,DATE(2026,10,29),IF(H413=1,DATE(2026,10,30),DATE(2026,11,2)+7*INT((H413-2)/3)+CHOOSE(MOD(H413-2,3)+1,0,2,4)))</f>
        <v/>
      </c>
    </row>
    <row r="414" ht="23.85" customHeight="1" s="24">
      <c r="A414" s="43" t="n">
        <v>413</v>
      </c>
      <c r="B414" s="44" t="inlineStr">
        <is>
          <t>Alto Império: de Augusto a Cômodo (27 a.C.–192 d.C.)</t>
        </is>
      </c>
      <c r="C414" s="45" t="inlineStr">
        <is>
          <t>c. 100</t>
        </is>
      </c>
      <c r="D414" s="44" t="inlineStr">
        <is>
          <t>As ruas de Roma: lojas, tabernas e latrinas</t>
        </is>
      </c>
      <c r="E414" s="44" t="inlineStr">
        <is>
          <t>Óstia Antiga</t>
        </is>
      </c>
      <c r="F414" s="45" t="inlineStr">
        <is>
          <t>Pendente</t>
        </is>
      </c>
      <c r="G414" s="45" t="n">
        <v>100</v>
      </c>
      <c r="H414" s="43" t="n">
        <v>367</v>
      </c>
      <c r="I414" s="46">
        <f>IF(H414=0,DATE(2026,10,29),IF(H414=1,DATE(2026,10,30),DATE(2026,11,2)+7*INT((H414-2)/3)+CHOOSE(MOD(H414-2,3)+1,0,2,4)))</f>
        <v/>
      </c>
    </row>
    <row r="415" ht="23.85" customHeight="1" s="24">
      <c r="A415" s="43" t="n">
        <v>414</v>
      </c>
      <c r="B415" s="44" t="inlineStr">
        <is>
          <t>Alto Império: de Augusto a Cômodo (27 a.C.–192 d.C.)</t>
        </is>
      </c>
      <c r="C415" s="45" t="inlineStr">
        <is>
          <t>c. 100</t>
        </is>
      </c>
      <c r="D415" s="44" t="inlineStr">
        <is>
          <t>O exército romano: o legionário e o quartel</t>
        </is>
      </c>
      <c r="E415" s="44" t="inlineStr">
        <is>
          <t>Castro Pretório, Roma</t>
        </is>
      </c>
      <c r="F415" s="45" t="inlineStr">
        <is>
          <t>Pendente</t>
        </is>
      </c>
      <c r="G415" s="45" t="n">
        <v>100</v>
      </c>
      <c r="H415" s="43" t="n">
        <v>368</v>
      </c>
      <c r="I415" s="46">
        <f>IF(H415=0,DATE(2026,10,29),IF(H415=1,DATE(2026,10,30),DATE(2026,11,2)+7*INT((H415-2)/3)+CHOOSE(MOD(H415-2,3)+1,0,2,4)))</f>
        <v/>
      </c>
    </row>
    <row r="416" ht="23.85" customHeight="1" s="24">
      <c r="A416" s="43" t="n">
        <v>415</v>
      </c>
      <c r="B416" s="44" t="inlineStr">
        <is>
          <t>Alto Império: de Augusto a Cômodo (27 a.C.–192 d.C.)</t>
        </is>
      </c>
      <c r="C416" s="45" t="inlineStr">
        <is>
          <t>101</t>
        </is>
      </c>
      <c r="D416" s="44" t="inlineStr">
        <is>
          <t>A guerra contra os dácios</t>
        </is>
      </c>
      <c r="E416" s="44" t="inlineStr">
        <is>
          <t>Coluna de Trajano, Roma</t>
        </is>
      </c>
      <c r="F416" s="45" t="inlineStr">
        <is>
          <t>Pendente</t>
        </is>
      </c>
      <c r="G416" s="45" t="n">
        <v>101</v>
      </c>
      <c r="H416" s="43" t="n">
        <v>369</v>
      </c>
      <c r="I416" s="46">
        <f>IF(H416=0,DATE(2026,10,29),IF(H416=1,DATE(2026,10,30),DATE(2026,11,2)+7*INT((H416-2)/3)+CHOOSE(MOD(H416-2,3)+1,0,2,4)))</f>
        <v/>
      </c>
    </row>
    <row r="417" ht="23.85" customHeight="1" s="24">
      <c r="A417" s="43" t="n">
        <v>416</v>
      </c>
      <c r="B417" s="44" t="inlineStr">
        <is>
          <t>Alto Império: de Augusto a Cômodo (27 a.C.–192 d.C.)</t>
        </is>
      </c>
      <c r="C417" s="45" t="inlineStr">
        <is>
          <t>105</t>
        </is>
      </c>
      <c r="D417" s="44" t="inlineStr">
        <is>
          <t>A ponte de Trajano sobre o Danúbio</t>
        </is>
      </c>
      <c r="E417" s="44" t="inlineStr">
        <is>
          <t>A definir (Roma)</t>
        </is>
      </c>
      <c r="F417" s="45" t="inlineStr">
        <is>
          <t>Pendente</t>
        </is>
      </c>
      <c r="G417" s="45" t="n">
        <v>105</v>
      </c>
      <c r="H417" s="43" t="n">
        <v>370</v>
      </c>
      <c r="I417" s="46">
        <f>IF(H417=0,DATE(2026,10,29),IF(H417=1,DATE(2026,10,30),DATE(2026,11,2)+7*INT((H417-2)/3)+CHOOSE(MOD(H417-2,3)+1,0,2,4)))</f>
        <v/>
      </c>
    </row>
    <row r="418" ht="23.85" customHeight="1" s="24">
      <c r="A418" s="43" t="n">
        <v>417</v>
      </c>
      <c r="B418" s="44" t="inlineStr">
        <is>
          <t>Alto Império: de Augusto a Cômodo (27 a.C.–192 d.C.)</t>
        </is>
      </c>
      <c r="C418" s="45" t="inlineStr">
        <is>
          <t>c. 105</t>
        </is>
      </c>
      <c r="D418" s="44" t="inlineStr">
        <is>
          <t>A escrita romana: tabuletas, papiros e grafites</t>
        </is>
      </c>
      <c r="E418" s="44" t="inlineStr">
        <is>
          <t>Museo Nazionale Romano, Roma</t>
        </is>
      </c>
      <c r="F418" s="45" t="inlineStr">
        <is>
          <t>Pendente</t>
        </is>
      </c>
      <c r="G418" s="45" t="n">
        <v>105</v>
      </c>
      <c r="H418" s="43" t="n">
        <v>371</v>
      </c>
      <c r="I418" s="46">
        <f>IF(H418=0,DATE(2026,10,29),IF(H418=1,DATE(2026,10,30),DATE(2026,11,2)+7*INT((H418-2)/3)+CHOOSE(MOD(H418-2,3)+1,0,2,4)))</f>
        <v/>
      </c>
    </row>
    <row r="419" ht="23.85" customHeight="1" s="24">
      <c r="A419" s="43" t="n">
        <v>418</v>
      </c>
      <c r="B419" s="44" t="inlineStr">
        <is>
          <t>Alto Império: de Augusto a Cômodo (27 a.C.–192 d.C.)</t>
        </is>
      </c>
      <c r="C419" s="45" t="inlineStr">
        <is>
          <t>106</t>
        </is>
      </c>
      <c r="D419" s="44" t="inlineStr">
        <is>
          <t>A conquista da Dácia</t>
        </is>
      </c>
      <c r="E419" s="44" t="inlineStr">
        <is>
          <t>Coluna de Trajano, Roma</t>
        </is>
      </c>
      <c r="F419" s="45" t="inlineStr">
        <is>
          <t>Pendente</t>
        </is>
      </c>
      <c r="G419" s="45" t="n">
        <v>106</v>
      </c>
      <c r="H419" s="43" t="n">
        <v>372</v>
      </c>
      <c r="I419" s="46">
        <f>IF(H419=0,DATE(2026,10,29),IF(H419=1,DATE(2026,10,30),DATE(2026,11,2)+7*INT((H419-2)/3)+CHOOSE(MOD(H419-2,3)+1,0,2,4)))</f>
        <v/>
      </c>
    </row>
    <row r="420" ht="23.85" customHeight="1" s="24">
      <c r="A420" s="43" t="n">
        <v>419</v>
      </c>
      <c r="B420" s="44" t="inlineStr">
        <is>
          <t>Alto Império: de Augusto a Cômodo (27 a.C.–192 d.C.)</t>
        </is>
      </c>
      <c r="C420" s="45" t="inlineStr">
        <is>
          <t>107</t>
        </is>
      </c>
      <c r="D420" s="44" t="inlineStr">
        <is>
          <t>O porto de Trajano em Óstia</t>
        </is>
      </c>
      <c r="E420" s="44" t="inlineStr">
        <is>
          <t>Portus, Fiumicino</t>
        </is>
      </c>
      <c r="F420" s="45" t="inlineStr">
        <is>
          <t>Pendente</t>
        </is>
      </c>
      <c r="G420" s="45" t="n">
        <v>107</v>
      </c>
      <c r="H420" s="43" t="n">
        <v>373</v>
      </c>
      <c r="I420" s="46">
        <f>IF(H420=0,DATE(2026,10,29),IF(H420=1,DATE(2026,10,30),DATE(2026,11,2)+7*INT((H420-2)/3)+CHOOSE(MOD(H420-2,3)+1,0,2,4)))</f>
        <v/>
      </c>
    </row>
    <row r="421" ht="23.85" customHeight="1" s="24">
      <c r="A421" s="43" t="n">
        <v>420</v>
      </c>
      <c r="B421" s="44" t="inlineStr">
        <is>
          <t>Alto Império: de Augusto a Cômodo (27 a.C.–192 d.C.)</t>
        </is>
      </c>
      <c r="C421" s="45" t="inlineStr">
        <is>
          <t>109</t>
        </is>
      </c>
      <c r="D421" s="44" t="inlineStr">
        <is>
          <t>As Termas de Trajano</t>
        </is>
      </c>
      <c r="E421" s="44" t="inlineStr">
        <is>
          <t>Parque do Colle Oppio, Roma</t>
        </is>
      </c>
      <c r="F421" s="45" t="inlineStr">
        <is>
          <t>Pendente</t>
        </is>
      </c>
      <c r="G421" s="45" t="n">
        <v>109</v>
      </c>
      <c r="H421" s="43" t="n">
        <v>374</v>
      </c>
      <c r="I421" s="46">
        <f>IF(H421=0,DATE(2026,10,29),IF(H421=1,DATE(2026,10,30),DATE(2026,11,2)+7*INT((H421-2)/3)+CHOOSE(MOD(H421-2,3)+1,0,2,4)))</f>
        <v/>
      </c>
    </row>
    <row r="422" ht="23.85" customHeight="1" s="24">
      <c r="A422" s="43" t="n">
        <v>421</v>
      </c>
      <c r="B422" s="44" t="inlineStr">
        <is>
          <t>Alto Império: de Augusto a Cômodo (27 a.C.–192 d.C.)</t>
        </is>
      </c>
      <c r="C422" s="45" t="inlineStr">
        <is>
          <t>110</t>
        </is>
      </c>
      <c r="D422" s="44" t="inlineStr">
        <is>
          <t>Os Mercados de Trajano</t>
        </is>
      </c>
      <c r="E422" s="44" t="inlineStr">
        <is>
          <t>Mercados de Trajano, Roma</t>
        </is>
      </c>
      <c r="F422" s="45" t="inlineStr">
        <is>
          <t>Pendente</t>
        </is>
      </c>
      <c r="G422" s="45" t="n">
        <v>110</v>
      </c>
      <c r="H422" s="43" t="n">
        <v>375</v>
      </c>
      <c r="I422" s="46">
        <f>IF(H422=0,DATE(2026,10,29),IF(H422=1,DATE(2026,10,30),DATE(2026,11,2)+7*INT((H422-2)/3)+CHOOSE(MOD(H422-2,3)+1,0,2,4)))</f>
        <v/>
      </c>
    </row>
    <row r="423" ht="23.85" customHeight="1" s="24">
      <c r="A423" s="43" t="n">
        <v>422</v>
      </c>
      <c r="B423" s="44" t="inlineStr">
        <is>
          <t>Alto Império: de Augusto a Cômodo (27 a.C.–192 d.C.)</t>
        </is>
      </c>
      <c r="C423" s="45" t="inlineStr">
        <is>
          <t>c. 110</t>
        </is>
      </c>
      <c r="D423" s="44" t="inlineStr">
        <is>
          <t>A culinária de Apício</t>
        </is>
      </c>
      <c r="E423" s="44" t="inlineStr">
        <is>
          <t>A definir (Roma)</t>
        </is>
      </c>
      <c r="F423" s="45" t="inlineStr">
        <is>
          <t>Pendente</t>
        </is>
      </c>
      <c r="G423" s="45" t="n">
        <v>110</v>
      </c>
      <c r="H423" s="43" t="n">
        <v>376</v>
      </c>
      <c r="I423" s="46">
        <f>IF(H423=0,DATE(2026,10,29),IF(H423=1,DATE(2026,10,30),DATE(2026,11,2)+7*INT((H423-2)/3)+CHOOSE(MOD(H423-2,3)+1,0,2,4)))</f>
        <v/>
      </c>
    </row>
    <row r="424" ht="23.85" customHeight="1" s="24">
      <c r="A424" s="43" t="n">
        <v>423</v>
      </c>
      <c r="B424" s="44" t="inlineStr">
        <is>
          <t>Alto Império: de Augusto a Cômodo (27 a.C.–192 d.C.)</t>
        </is>
      </c>
      <c r="C424" s="45" t="inlineStr">
        <is>
          <t>112</t>
        </is>
      </c>
      <c r="D424" s="44" t="inlineStr">
        <is>
          <t>O Fórum de Trajano</t>
        </is>
      </c>
      <c r="E424" s="44" t="inlineStr">
        <is>
          <t>Fórum de Trajano, Roma</t>
        </is>
      </c>
      <c r="F424" s="45" t="inlineStr">
        <is>
          <t>Pendente</t>
        </is>
      </c>
      <c r="G424" s="45" t="n">
        <v>112</v>
      </c>
      <c r="H424" s="43" t="n">
        <v>377</v>
      </c>
      <c r="I424" s="46">
        <f>IF(H424=0,DATE(2026,10,29),IF(H424=1,DATE(2026,10,30),DATE(2026,11,2)+7*INT((H424-2)/3)+CHOOSE(MOD(H424-2,3)+1,0,2,4)))</f>
        <v/>
      </c>
    </row>
    <row r="425" ht="23.85" customHeight="1" s="24">
      <c r="A425" s="43" t="n">
        <v>424</v>
      </c>
      <c r="B425" s="44" t="inlineStr">
        <is>
          <t>Alto Império: de Augusto a Cômodo (27 a.C.–192 d.C.)</t>
        </is>
      </c>
      <c r="C425" s="45" t="inlineStr">
        <is>
          <t>113</t>
        </is>
      </c>
      <c r="D425" s="44" t="inlineStr">
        <is>
          <t>A Coluna de Trajano</t>
        </is>
      </c>
      <c r="E425" s="44" t="inlineStr">
        <is>
          <t>Coluna de Trajano, Roma</t>
        </is>
      </c>
      <c r="F425" s="45" t="inlineStr">
        <is>
          <t>Pendente</t>
        </is>
      </c>
      <c r="G425" s="45" t="n">
        <v>113</v>
      </c>
      <c r="H425" s="43" t="n">
        <v>378</v>
      </c>
      <c r="I425" s="46">
        <f>IF(H425=0,DATE(2026,10,29),IF(H425=1,DATE(2026,10,30),DATE(2026,11,2)+7*INT((H425-2)/3)+CHOOSE(MOD(H425-2,3)+1,0,2,4)))</f>
        <v/>
      </c>
    </row>
    <row r="426" ht="23.85" customHeight="1" s="24">
      <c r="A426" s="43" t="n">
        <v>425</v>
      </c>
      <c r="B426" s="44" t="inlineStr">
        <is>
          <t>Alto Império: de Augusto a Cômodo (27 a.C.–192 d.C.)</t>
        </is>
      </c>
      <c r="C426" s="45" t="inlineStr">
        <is>
          <t>113</t>
        </is>
      </c>
      <c r="D426" s="44" t="inlineStr">
        <is>
          <t>Plínio, o Jovem e os cristãos</t>
        </is>
      </c>
      <c r="E426" s="44" t="inlineStr">
        <is>
          <t>A definir (Roma)</t>
        </is>
      </c>
      <c r="F426" s="45" t="inlineStr">
        <is>
          <t>Pendente</t>
        </is>
      </c>
      <c r="G426" s="45" t="n">
        <v>113</v>
      </c>
      <c r="H426" s="43" t="n">
        <v>379</v>
      </c>
      <c r="I426" s="46">
        <f>IF(H426=0,DATE(2026,10,29),IF(H426=1,DATE(2026,10,30),DATE(2026,11,2)+7*INT((H426-2)/3)+CHOOSE(MOD(H426-2,3)+1,0,2,4)))</f>
        <v/>
      </c>
    </row>
    <row r="427" ht="23.85" customHeight="1" s="24">
      <c r="A427" s="43" t="n">
        <v>426</v>
      </c>
      <c r="B427" s="44" t="inlineStr">
        <is>
          <t>Alto Império: de Augusto a Cômodo (27 a.C.–192 d.C.)</t>
        </is>
      </c>
      <c r="C427" s="45" t="inlineStr">
        <is>
          <t>114</t>
        </is>
      </c>
      <c r="D427" s="44" t="inlineStr">
        <is>
          <t>A guerra contra os partos</t>
        </is>
      </c>
      <c r="E427" s="44" t="inlineStr">
        <is>
          <t>A definir (Roma)</t>
        </is>
      </c>
      <c r="F427" s="45" t="inlineStr">
        <is>
          <t>Pendente</t>
        </is>
      </c>
      <c r="G427" s="45" t="n">
        <v>114</v>
      </c>
      <c r="H427" s="43" t="n">
        <v>380</v>
      </c>
      <c r="I427" s="46">
        <f>IF(H427=0,DATE(2026,10,29),IF(H427=1,DATE(2026,10,30),DATE(2026,11,2)+7*INT((H427-2)/3)+CHOOSE(MOD(H427-2,3)+1,0,2,4)))</f>
        <v/>
      </c>
    </row>
    <row r="428" ht="23.85" customHeight="1" s="24">
      <c r="A428" s="43" t="n">
        <v>427</v>
      </c>
      <c r="B428" s="44" t="inlineStr">
        <is>
          <t>Alto Império: de Augusto a Cômodo (27 a.C.–192 d.C.)</t>
        </is>
      </c>
      <c r="C428" s="45" t="inlineStr">
        <is>
          <t>c. 115</t>
        </is>
      </c>
      <c r="D428" s="44" t="inlineStr">
        <is>
          <t>Mercados e comércio do Mediterrâneo</t>
        </is>
      </c>
      <c r="E428" s="44" t="inlineStr">
        <is>
          <t>Mercados de Trajano, Roma</t>
        </is>
      </c>
      <c r="F428" s="45" t="inlineStr">
        <is>
          <t>Pendente</t>
        </is>
      </c>
      <c r="G428" s="45" t="n">
        <v>115</v>
      </c>
      <c r="H428" s="43" t="n">
        <v>381</v>
      </c>
      <c r="I428" s="46">
        <f>IF(H428=0,DATE(2026,10,29),IF(H428=1,DATE(2026,10,30),DATE(2026,11,2)+7*INT((H428-2)/3)+CHOOSE(MOD(H428-2,3)+1,0,2,4)))</f>
        <v/>
      </c>
    </row>
    <row r="429" ht="23.85" customHeight="1" s="24">
      <c r="A429" s="43" t="n">
        <v>428</v>
      </c>
      <c r="B429" s="44" t="inlineStr">
        <is>
          <t>Alto Império: de Augusto a Cômodo (27 a.C.–192 d.C.)</t>
        </is>
      </c>
      <c r="C429" s="45" t="inlineStr">
        <is>
          <t>116</t>
        </is>
      </c>
      <c r="D429" s="44" t="inlineStr">
        <is>
          <t>A Via Trajana</t>
        </is>
      </c>
      <c r="E429" s="44" t="inlineStr">
        <is>
          <t>Benevento</t>
        </is>
      </c>
      <c r="F429" s="45" t="inlineStr">
        <is>
          <t>Pendente</t>
        </is>
      </c>
      <c r="G429" s="45" t="n">
        <v>116</v>
      </c>
      <c r="H429" s="43" t="n">
        <v>382</v>
      </c>
      <c r="I429" s="46">
        <f>IF(H429=0,DATE(2026,10,29),IF(H429=1,DATE(2026,10,30),DATE(2026,11,2)+7*INT((H429-2)/3)+CHOOSE(MOD(H429-2,3)+1,0,2,4)))</f>
        <v/>
      </c>
    </row>
    <row r="430" ht="23.85" customHeight="1" s="24">
      <c r="A430" s="43" t="n">
        <v>429</v>
      </c>
      <c r="B430" s="44" t="inlineStr">
        <is>
          <t>Alto Império: de Augusto a Cômodo (27 a.C.–192 d.C.)</t>
        </is>
      </c>
      <c r="C430" s="45" t="inlineStr">
        <is>
          <t>117</t>
        </is>
      </c>
      <c r="D430" s="44" t="inlineStr">
        <is>
          <t>A morte de Trajano e o Império máximo</t>
        </is>
      </c>
      <c r="E430" s="44" t="inlineStr">
        <is>
          <t>A definir (Roma)</t>
        </is>
      </c>
      <c r="F430" s="45" t="inlineStr">
        <is>
          <t>Pendente</t>
        </is>
      </c>
      <c r="G430" s="45" t="n">
        <v>117</v>
      </c>
      <c r="H430" s="43" t="n">
        <v>383</v>
      </c>
      <c r="I430" s="46">
        <f>IF(H430=0,DATE(2026,10,29),IF(H430=1,DATE(2026,10,30),DATE(2026,11,2)+7*INT((H430-2)/3)+CHOOSE(MOD(H430-2,3)+1,0,2,4)))</f>
        <v/>
      </c>
    </row>
    <row r="431" ht="23.85" customHeight="1" s="24">
      <c r="A431" s="43" t="n">
        <v>430</v>
      </c>
      <c r="B431" s="44" t="inlineStr">
        <is>
          <t>Alto Império: de Augusto a Cômodo (27 a.C.–192 d.C.)</t>
        </is>
      </c>
      <c r="C431" s="45" t="inlineStr">
        <is>
          <t>117</t>
        </is>
      </c>
      <c r="D431" s="44" t="inlineStr">
        <is>
          <t>Adriano: o imperador viajante</t>
        </is>
      </c>
      <c r="E431" s="44" t="inlineStr">
        <is>
          <t>A definir (Roma)</t>
        </is>
      </c>
      <c r="F431" s="45" t="inlineStr">
        <is>
          <t>Pendente</t>
        </is>
      </c>
      <c r="G431" s="45" t="n">
        <v>117</v>
      </c>
      <c r="H431" s="43" t="n">
        <v>384</v>
      </c>
      <c r="I431" s="46">
        <f>IF(H431=0,DATE(2026,10,29),IF(H431=1,DATE(2026,10,30),DATE(2026,11,2)+7*INT((H431-2)/3)+CHOOSE(MOD(H431-2,3)+1,0,2,4)))</f>
        <v/>
      </c>
    </row>
    <row r="432" ht="23.85" customHeight="1" s="24">
      <c r="A432" s="43" t="n">
        <v>431</v>
      </c>
      <c r="B432" s="44" t="inlineStr">
        <is>
          <t>Alto Império: de Augusto a Cômodo (27 a.C.–192 d.C.)</t>
        </is>
      </c>
      <c r="C432" s="45" t="inlineStr">
        <is>
          <t>118</t>
        </is>
      </c>
      <c r="D432" s="44" t="inlineStr">
        <is>
          <t>A reforma de Adriano</t>
        </is>
      </c>
      <c r="E432" s="44" t="inlineStr">
        <is>
          <t>A definir (Roma)</t>
        </is>
      </c>
      <c r="F432" s="45" t="inlineStr">
        <is>
          <t>Pendente</t>
        </is>
      </c>
      <c r="G432" s="45" t="n">
        <v>118</v>
      </c>
      <c r="H432" s="43" t="n">
        <v>385</v>
      </c>
      <c r="I432" s="46">
        <f>IF(H432=0,DATE(2026,10,29),IF(H432=1,DATE(2026,10,30),DATE(2026,11,2)+7*INT((H432-2)/3)+CHOOSE(MOD(H432-2,3)+1,0,2,4)))</f>
        <v/>
      </c>
    </row>
    <row r="433" ht="23.85" customHeight="1" s="24">
      <c r="A433" s="43" t="n">
        <v>432</v>
      </c>
      <c r="B433" s="44" t="inlineStr">
        <is>
          <t>Alto Império: de Augusto a Cômodo (27 a.C.–192 d.C.)</t>
        </is>
      </c>
      <c r="C433" s="45" t="inlineStr">
        <is>
          <t>120</t>
        </is>
      </c>
      <c r="D433" s="44" t="inlineStr">
        <is>
          <t>O Templo de Vênus e Roma</t>
        </is>
      </c>
      <c r="E433" s="44" t="inlineStr">
        <is>
          <t>Via Sacra, Roma</t>
        </is>
      </c>
      <c r="F433" s="45" t="inlineStr">
        <is>
          <t>Pendente</t>
        </is>
      </c>
      <c r="G433" s="45" t="n">
        <v>120</v>
      </c>
      <c r="H433" s="43" t="n">
        <v>386</v>
      </c>
      <c r="I433" s="46">
        <f>IF(H433=0,DATE(2026,10,29),IF(H433=1,DATE(2026,10,30),DATE(2026,11,2)+7*INT((H433-2)/3)+CHOOSE(MOD(H433-2,3)+1,0,2,4)))</f>
        <v/>
      </c>
    </row>
    <row r="434" ht="23.85" customHeight="1" s="24">
      <c r="A434" s="43" t="n">
        <v>433</v>
      </c>
      <c r="B434" s="44" t="inlineStr">
        <is>
          <t>Alto Império: de Augusto a Cômodo (27 a.C.–192 d.C.)</t>
        </is>
      </c>
      <c r="C434" s="45" t="inlineStr">
        <is>
          <t>c. 120</t>
        </is>
      </c>
      <c r="D434" s="44" t="inlineStr">
        <is>
          <t>O Monte Testaccio: a colina de ânforas</t>
        </is>
      </c>
      <c r="E434" s="44" t="inlineStr">
        <is>
          <t>Monte Testaccio, Roma</t>
        </is>
      </c>
      <c r="F434" s="45" t="inlineStr">
        <is>
          <t>Pendente</t>
        </is>
      </c>
      <c r="G434" s="45" t="n">
        <v>120</v>
      </c>
      <c r="H434" s="43" t="n">
        <v>387</v>
      </c>
      <c r="I434" s="46">
        <f>IF(H434=0,DATE(2026,10,29),IF(H434=1,DATE(2026,10,30),DATE(2026,11,2)+7*INT((H434-2)/3)+CHOOSE(MOD(H434-2,3)+1,0,2,4)))</f>
        <v/>
      </c>
    </row>
    <row r="435" ht="23.85" customHeight="1" s="24">
      <c r="A435" s="43" t="n">
        <v>434</v>
      </c>
      <c r="B435" s="44" t="inlineStr">
        <is>
          <t>Alto Império: de Augusto a Cômodo (27 a.C.–192 d.C.)</t>
        </is>
      </c>
      <c r="C435" s="45" t="inlineStr">
        <is>
          <t>121</t>
        </is>
      </c>
      <c r="D435" s="44" t="inlineStr">
        <is>
          <t>A Muralha de Adriano</t>
        </is>
      </c>
      <c r="E435" s="44" t="inlineStr">
        <is>
          <t>A definir (Roma)</t>
        </is>
      </c>
      <c r="F435" s="45" t="inlineStr">
        <is>
          <t>Pendente</t>
        </is>
      </c>
      <c r="G435" s="45" t="n">
        <v>121</v>
      </c>
      <c r="H435" s="43" t="n">
        <v>388</v>
      </c>
      <c r="I435" s="46">
        <f>IF(H435=0,DATE(2026,10,29),IF(H435=1,DATE(2026,10,30),DATE(2026,11,2)+7*INT((H435-2)/3)+CHOOSE(MOD(H435-2,3)+1,0,2,4)))</f>
        <v/>
      </c>
    </row>
    <row r="436" ht="23.85" customHeight="1" s="24">
      <c r="A436" s="43" t="n">
        <v>435</v>
      </c>
      <c r="B436" s="44" t="inlineStr">
        <is>
          <t>Alto Império: de Augusto a Cômodo (27 a.C.–192 d.C.)</t>
        </is>
      </c>
      <c r="C436" s="45" t="inlineStr">
        <is>
          <t>122</t>
        </is>
      </c>
      <c r="D436" s="44" t="inlineStr">
        <is>
          <t>A Villa Adriana em Tivoli</t>
        </is>
      </c>
      <c r="E436" s="44" t="inlineStr">
        <is>
          <t>Villa Adriana, Tivoli</t>
        </is>
      </c>
      <c r="F436" s="45" t="inlineStr">
        <is>
          <t>Pendente</t>
        </is>
      </c>
      <c r="G436" s="45" t="n">
        <v>122</v>
      </c>
      <c r="H436" s="43" t="n">
        <v>389</v>
      </c>
      <c r="I436" s="46">
        <f>IF(H436=0,DATE(2026,10,29),IF(H436=1,DATE(2026,10,30),DATE(2026,11,2)+7*INT((H436-2)/3)+CHOOSE(MOD(H436-2,3)+1,0,2,4)))</f>
        <v/>
      </c>
    </row>
    <row r="437" ht="23.85" customHeight="1" s="24">
      <c r="A437" s="43" t="n">
        <v>436</v>
      </c>
      <c r="B437" s="44" t="inlineStr">
        <is>
          <t>Alto Império: de Augusto a Cômodo (27 a.C.–192 d.C.)</t>
        </is>
      </c>
      <c r="C437" s="45" t="inlineStr">
        <is>
          <t>125</t>
        </is>
      </c>
      <c r="D437" s="44" t="inlineStr">
        <is>
          <t>O Panteão de Adriano</t>
        </is>
      </c>
      <c r="E437" s="44" t="inlineStr">
        <is>
          <t>Panteão, Roma</t>
        </is>
      </c>
      <c r="F437" s="45" t="inlineStr">
        <is>
          <t>Pendente</t>
        </is>
      </c>
      <c r="G437" s="45" t="n">
        <v>125</v>
      </c>
      <c r="H437" s="43" t="n">
        <v>390</v>
      </c>
      <c r="I437" s="46">
        <f>IF(H437=0,DATE(2026,10,29),IF(H437=1,DATE(2026,10,30),DATE(2026,11,2)+7*INT((H437-2)/3)+CHOOSE(MOD(H437-2,3)+1,0,2,4)))</f>
        <v/>
      </c>
    </row>
    <row r="438" ht="23.85" customHeight="1" s="24">
      <c r="A438" s="43" t="n">
        <v>437</v>
      </c>
      <c r="B438" s="44" t="inlineStr">
        <is>
          <t>Alto Império: de Augusto a Cômodo (27 a.C.–192 d.C.)</t>
        </is>
      </c>
      <c r="C438" s="45" t="inlineStr">
        <is>
          <t>c. 125</t>
        </is>
      </c>
      <c r="D438" s="44" t="inlineStr">
        <is>
          <t>Estradas romanas e correio imperial</t>
        </is>
      </c>
      <c r="E438" s="44" t="inlineStr">
        <is>
          <t>Via Ápia Antiga, Roma</t>
        </is>
      </c>
      <c r="F438" s="45" t="inlineStr">
        <is>
          <t>Pendente</t>
        </is>
      </c>
      <c r="G438" s="45" t="n">
        <v>125</v>
      </c>
      <c r="H438" s="43" t="n">
        <v>391</v>
      </c>
      <c r="I438" s="46">
        <f>IF(H438=0,DATE(2026,10,29),IF(H438=1,DATE(2026,10,30),DATE(2026,11,2)+7*INT((H438-2)/3)+CHOOSE(MOD(H438-2,3)+1,0,2,4)))</f>
        <v/>
      </c>
    </row>
    <row r="439" ht="23.85" customHeight="1" s="24">
      <c r="A439" s="43" t="n">
        <v>438</v>
      </c>
      <c r="B439" s="44" t="inlineStr">
        <is>
          <t>Alto Império: de Augusto a Cômodo (27 a.C.–192 d.C.)</t>
        </is>
      </c>
      <c r="C439" s="45" t="inlineStr">
        <is>
          <t>128</t>
        </is>
      </c>
      <c r="D439" s="44" t="inlineStr">
        <is>
          <t>Adriano em Atenas</t>
        </is>
      </c>
      <c r="E439" s="44" t="inlineStr">
        <is>
          <t>A definir (Roma)</t>
        </is>
      </c>
      <c r="F439" s="45" t="inlineStr">
        <is>
          <t>Pendente</t>
        </is>
      </c>
      <c r="G439" s="45" t="n">
        <v>128</v>
      </c>
      <c r="H439" s="43" t="n">
        <v>392</v>
      </c>
      <c r="I439" s="46">
        <f>IF(H439=0,DATE(2026,10,29),IF(H439=1,DATE(2026,10,30),DATE(2026,11,2)+7*INT((H439-2)/3)+CHOOSE(MOD(H439-2,3)+1,0,2,4)))</f>
        <v/>
      </c>
    </row>
    <row r="440" ht="23.85" customHeight="1" s="24">
      <c r="A440" s="43" t="n">
        <v>439</v>
      </c>
      <c r="B440" s="44" t="inlineStr">
        <is>
          <t>Alto Império: de Augusto a Cômodo (27 a.C.–192 d.C.)</t>
        </is>
      </c>
      <c r="C440" s="45" t="inlineStr">
        <is>
          <t>130</t>
        </is>
      </c>
      <c r="D440" s="44" t="inlineStr">
        <is>
          <t>Antínoo e a deificação</t>
        </is>
      </c>
      <c r="E440" s="44" t="inlineStr">
        <is>
          <t>Villa Adriana, Tivoli</t>
        </is>
      </c>
      <c r="F440" s="45" t="inlineStr">
        <is>
          <t>Pendente</t>
        </is>
      </c>
      <c r="G440" s="45" t="n">
        <v>130</v>
      </c>
      <c r="H440" s="43" t="n">
        <v>393</v>
      </c>
      <c r="I440" s="46">
        <f>IF(H440=0,DATE(2026,10,29),IF(H440=1,DATE(2026,10,30),DATE(2026,11,2)+7*INT((H440-2)/3)+CHOOSE(MOD(H440-2,3)+1,0,2,4)))</f>
        <v/>
      </c>
    </row>
    <row r="441" ht="23.85" customHeight="1" s="24">
      <c r="A441" s="43" t="n">
        <v>440</v>
      </c>
      <c r="B441" s="44" t="inlineStr">
        <is>
          <t>Alto Império: de Augusto a Cômodo (27 a.C.–192 d.C.)</t>
        </is>
      </c>
      <c r="C441" s="45" t="inlineStr">
        <is>
          <t>c. 130</t>
        </is>
      </c>
      <c r="D441" s="44" t="inlineStr">
        <is>
          <t>As vilas romanas do Lácio</t>
        </is>
      </c>
      <c r="E441" s="44" t="inlineStr">
        <is>
          <t>Villa dei Quintili, Roma</t>
        </is>
      </c>
      <c r="F441" s="45" t="inlineStr">
        <is>
          <t>Pendente</t>
        </is>
      </c>
      <c r="G441" s="45" t="n">
        <v>130</v>
      </c>
      <c r="H441" s="43" t="n">
        <v>394</v>
      </c>
      <c r="I441" s="46">
        <f>IF(H441=0,DATE(2026,10,29),IF(H441=1,DATE(2026,10,30),DATE(2026,11,2)+7*INT((H441-2)/3)+CHOOSE(MOD(H441-2,3)+1,0,2,4)))</f>
        <v/>
      </c>
    </row>
    <row r="442" ht="23.85" customHeight="1" s="24">
      <c r="A442" s="43" t="n">
        <v>441</v>
      </c>
      <c r="B442" s="44" t="inlineStr">
        <is>
          <t>Alto Império: de Augusto a Cômodo (27 a.C.–192 d.C.)</t>
        </is>
      </c>
      <c r="C442" s="45" t="inlineStr">
        <is>
          <t>132</t>
        </is>
      </c>
      <c r="D442" s="44" t="inlineStr">
        <is>
          <t>A revolta de Bar Kokhba</t>
        </is>
      </c>
      <c r="E442" s="44" t="inlineStr">
        <is>
          <t>A definir (Roma)</t>
        </is>
      </c>
      <c r="F442" s="45" t="inlineStr">
        <is>
          <t>Pendente</t>
        </is>
      </c>
      <c r="G442" s="45" t="n">
        <v>132</v>
      </c>
      <c r="H442" s="43" t="n">
        <v>395</v>
      </c>
      <c r="I442" s="46">
        <f>IF(H442=0,DATE(2026,10,29),IF(H442=1,DATE(2026,10,30),DATE(2026,11,2)+7*INT((H442-2)/3)+CHOOSE(MOD(H442-2,3)+1,0,2,4)))</f>
        <v/>
      </c>
    </row>
    <row r="443" ht="23.85" customHeight="1" s="24">
      <c r="A443" s="43" t="n">
        <v>442</v>
      </c>
      <c r="B443" s="44" t="inlineStr">
        <is>
          <t>Alto Império: de Augusto a Cômodo (27 a.C.–192 d.C.)</t>
        </is>
      </c>
      <c r="C443" s="45" t="inlineStr">
        <is>
          <t>134</t>
        </is>
      </c>
      <c r="D443" s="44" t="inlineStr">
        <is>
          <t>Jerusalém vira Élia Capitolina</t>
        </is>
      </c>
      <c r="E443" s="44" t="inlineStr">
        <is>
          <t>A definir (Roma)</t>
        </is>
      </c>
      <c r="F443" s="45" t="inlineStr">
        <is>
          <t>Pendente</t>
        </is>
      </c>
      <c r="G443" s="45" t="n">
        <v>134</v>
      </c>
      <c r="H443" s="43" t="n">
        <v>396</v>
      </c>
      <c r="I443" s="46">
        <f>IF(H443=0,DATE(2026,10,29),IF(H443=1,DATE(2026,10,30),DATE(2026,11,2)+7*INT((H443-2)/3)+CHOOSE(MOD(H443-2,3)+1,0,2,4)))</f>
        <v/>
      </c>
    </row>
    <row r="444" ht="23.85" customHeight="1" s="24">
      <c r="A444" s="43" t="n">
        <v>443</v>
      </c>
      <c r="B444" s="44" t="inlineStr">
        <is>
          <t>Alto Império: de Augusto a Cômodo (27 a.C.–192 d.C.)</t>
        </is>
      </c>
      <c r="C444" s="45" t="inlineStr">
        <is>
          <t>135</t>
        </is>
      </c>
      <c r="D444" s="44" t="inlineStr">
        <is>
          <t>O Mausoléu de Adriano</t>
        </is>
      </c>
      <c r="E444" s="44" t="inlineStr">
        <is>
          <t>Castel Sant'Angelo, Roma</t>
        </is>
      </c>
      <c r="F444" s="45" t="inlineStr">
        <is>
          <t>Pendente</t>
        </is>
      </c>
      <c r="G444" s="45" t="n">
        <v>135</v>
      </c>
      <c r="H444" s="43" t="n">
        <v>397</v>
      </c>
      <c r="I444" s="46">
        <f>IF(H444=0,DATE(2026,10,29),IF(H444=1,DATE(2026,10,30),DATE(2026,11,2)+7*INT((H444-2)/3)+CHOOSE(MOD(H444-2,3)+1,0,2,4)))</f>
        <v/>
      </c>
    </row>
    <row r="445" ht="23.85" customHeight="1" s="24">
      <c r="A445" s="43" t="n">
        <v>444</v>
      </c>
      <c r="B445" s="44" t="inlineStr">
        <is>
          <t>Alto Império: de Augusto a Cômodo (27 a.C.–192 d.C.)</t>
        </is>
      </c>
      <c r="C445" s="45" t="inlineStr">
        <is>
          <t>c. 135</t>
        </is>
      </c>
      <c r="D445" s="44" t="inlineStr">
        <is>
          <t>Teatro e espetáculo na Roma antiga</t>
        </is>
      </c>
      <c r="E445" s="44" t="inlineStr">
        <is>
          <t>Teatro de Marcelo, Roma</t>
        </is>
      </c>
      <c r="F445" s="45" t="inlineStr">
        <is>
          <t>Pendente</t>
        </is>
      </c>
      <c r="G445" s="45" t="n">
        <v>135</v>
      </c>
      <c r="H445" s="43" t="n">
        <v>398</v>
      </c>
      <c r="I445" s="46">
        <f>IF(H445=0,DATE(2026,10,29),IF(H445=1,DATE(2026,10,30),DATE(2026,11,2)+7*INT((H445-2)/3)+CHOOSE(MOD(H445-2,3)+1,0,2,4)))</f>
        <v/>
      </c>
    </row>
    <row r="446" ht="23.85" customHeight="1" s="24">
      <c r="A446" s="43" t="n">
        <v>445</v>
      </c>
      <c r="B446" s="44" t="inlineStr">
        <is>
          <t>Alto Império: de Augusto a Cômodo (27 a.C.–192 d.C.)</t>
        </is>
      </c>
      <c r="C446" s="45" t="inlineStr">
        <is>
          <t>138</t>
        </is>
      </c>
      <c r="D446" s="44" t="inlineStr">
        <is>
          <t>A morte de Adriano</t>
        </is>
      </c>
      <c r="E446" s="44" t="inlineStr">
        <is>
          <t>Castel Sant'Angelo, Roma</t>
        </is>
      </c>
      <c r="F446" s="45" t="inlineStr">
        <is>
          <t>Pendente</t>
        </is>
      </c>
      <c r="G446" s="45" t="n">
        <v>138</v>
      </c>
      <c r="H446" s="43" t="n">
        <v>399</v>
      </c>
      <c r="I446" s="46">
        <f>IF(H446=0,DATE(2026,10,29),IF(H446=1,DATE(2026,10,30),DATE(2026,11,2)+7*INT((H446-2)/3)+CHOOSE(MOD(H446-2,3)+1,0,2,4)))</f>
        <v/>
      </c>
    </row>
    <row r="447" ht="23.85" customHeight="1" s="24">
      <c r="A447" s="43" t="n">
        <v>446</v>
      </c>
      <c r="B447" s="44" t="inlineStr">
        <is>
          <t>Alto Império: de Augusto a Cômodo (27 a.C.–192 d.C.)</t>
        </is>
      </c>
      <c r="C447" s="45" t="inlineStr">
        <is>
          <t>138</t>
        </is>
      </c>
      <c r="D447" s="44" t="inlineStr">
        <is>
          <t>Antonino Pio: o imperador da paz</t>
        </is>
      </c>
      <c r="E447" s="44" t="inlineStr">
        <is>
          <t>A definir (Roma)</t>
        </is>
      </c>
      <c r="F447" s="45" t="inlineStr">
        <is>
          <t>Pendente</t>
        </is>
      </c>
      <c r="G447" s="45" t="n">
        <v>138</v>
      </c>
      <c r="H447" s="43" t="n">
        <v>400</v>
      </c>
      <c r="I447" s="46">
        <f>IF(H447=0,DATE(2026,10,29),IF(H447=1,DATE(2026,10,30),DATE(2026,11,2)+7*INT((H447-2)/3)+CHOOSE(MOD(H447-2,3)+1,0,2,4)))</f>
        <v/>
      </c>
    </row>
    <row r="448" ht="23.85" customHeight="1" s="24">
      <c r="A448" s="43" t="n">
        <v>447</v>
      </c>
      <c r="B448" s="44" t="inlineStr">
        <is>
          <t>Alto Império: de Augusto a Cômodo (27 a.C.–192 d.C.)</t>
        </is>
      </c>
      <c r="C448" s="45" t="inlineStr">
        <is>
          <t>c. 140</t>
        </is>
      </c>
      <c r="D448" s="44" t="inlineStr">
        <is>
          <t>A religião romana tradicional: templos e sacrifícios</t>
        </is>
      </c>
      <c r="E448" s="44" t="inlineStr">
        <is>
          <t>Templo de Portuno, Fórum Boário, Roma</t>
        </is>
      </c>
      <c r="F448" s="45" t="inlineStr">
        <is>
          <t>Pendente</t>
        </is>
      </c>
      <c r="G448" s="45" t="n">
        <v>140</v>
      </c>
      <c r="H448" s="43" t="n">
        <v>401</v>
      </c>
      <c r="I448" s="46">
        <f>IF(H448=0,DATE(2026,10,29),IF(H448=1,DATE(2026,10,30),DATE(2026,11,2)+7*INT((H448-2)/3)+CHOOSE(MOD(H448-2,3)+1,0,2,4)))</f>
        <v/>
      </c>
    </row>
    <row r="449" ht="23.85" customHeight="1" s="24">
      <c r="A449" s="43" t="n">
        <v>448</v>
      </c>
      <c r="B449" s="44" t="inlineStr">
        <is>
          <t>Alto Império: de Augusto a Cômodo (27 a.C.–192 d.C.)</t>
        </is>
      </c>
      <c r="C449" s="45" t="inlineStr">
        <is>
          <t>141</t>
        </is>
      </c>
      <c r="D449" s="44" t="inlineStr">
        <is>
          <t>O Templo de Antonino e Faustina</t>
        </is>
      </c>
      <c r="E449" s="44" t="inlineStr">
        <is>
          <t>Fórum Romano, Roma</t>
        </is>
      </c>
      <c r="F449" s="45" t="inlineStr">
        <is>
          <t>Pendente</t>
        </is>
      </c>
      <c r="G449" s="45" t="n">
        <v>141</v>
      </c>
      <c r="H449" s="43" t="n">
        <v>402</v>
      </c>
      <c r="I449" s="46">
        <f>IF(H449=0,DATE(2026,10,29),IF(H449=1,DATE(2026,10,30),DATE(2026,11,2)+7*INT((H449-2)/3)+CHOOSE(MOD(H449-2,3)+1,0,2,4)))</f>
        <v/>
      </c>
    </row>
    <row r="450" ht="23.85" customHeight="1" s="24">
      <c r="A450" s="43" t="n">
        <v>449</v>
      </c>
      <c r="B450" s="44" t="inlineStr">
        <is>
          <t>Alto Império: de Augusto a Cômodo (27 a.C.–192 d.C.)</t>
        </is>
      </c>
      <c r="C450" s="45" t="inlineStr">
        <is>
          <t>145</t>
        </is>
      </c>
      <c r="D450" s="44" t="inlineStr">
        <is>
          <t>O Aqueduto de Antonino</t>
        </is>
      </c>
      <c r="E450" s="44" t="inlineStr">
        <is>
          <t>A definir (Roma)</t>
        </is>
      </c>
      <c r="F450" s="45" t="inlineStr">
        <is>
          <t>Pendente</t>
        </is>
      </c>
      <c r="G450" s="45" t="n">
        <v>145</v>
      </c>
      <c r="H450" s="43" t="n">
        <v>403</v>
      </c>
      <c r="I450" s="46">
        <f>IF(H450=0,DATE(2026,10,29),IF(H450=1,DATE(2026,10,30),DATE(2026,11,2)+7*INT((H450-2)/3)+CHOOSE(MOD(H450-2,3)+1,0,2,4)))</f>
        <v/>
      </c>
    </row>
    <row r="451" ht="23.85" customHeight="1" s="24">
      <c r="A451" s="43" t="n">
        <v>450</v>
      </c>
      <c r="B451" s="44" t="inlineStr">
        <is>
          <t>Alto Império: de Augusto a Cômodo (27 a.C.–192 d.C.)</t>
        </is>
      </c>
      <c r="C451" s="45" t="inlineStr">
        <is>
          <t>c. 145</t>
        </is>
      </c>
      <c r="D451" s="44" t="inlineStr">
        <is>
          <t>Os cultos orientais: Ísis e Mitra</t>
        </is>
      </c>
      <c r="E451" s="44" t="inlineStr">
        <is>
          <t>Basílica de São Clemente, Roma</t>
        </is>
      </c>
      <c r="F451" s="45" t="inlineStr">
        <is>
          <t>Pendente</t>
        </is>
      </c>
      <c r="G451" s="45" t="n">
        <v>145</v>
      </c>
      <c r="H451" s="43" t="n">
        <v>404</v>
      </c>
      <c r="I451" s="46">
        <f>IF(H451=0,DATE(2026,10,29),IF(H451=1,DATE(2026,10,30),DATE(2026,11,2)+7*INT((H451-2)/3)+CHOOSE(MOD(H451-2,3)+1,0,2,4)))</f>
        <v/>
      </c>
    </row>
    <row r="452" ht="23.85" customHeight="1" s="24">
      <c r="A452" s="43" t="n">
        <v>451</v>
      </c>
      <c r="B452" s="44" t="inlineStr">
        <is>
          <t>Alto Império: de Augusto a Cômodo (27 a.C.–192 d.C.)</t>
        </is>
      </c>
      <c r="C452" s="45" t="inlineStr">
        <is>
          <t>147</t>
        </is>
      </c>
      <c r="D452" s="44" t="inlineStr">
        <is>
          <t>Roma completa 900 anos</t>
        </is>
      </c>
      <c r="E452" s="44" t="inlineStr">
        <is>
          <t>A definir (Roma)</t>
        </is>
      </c>
      <c r="F452" s="45" t="inlineStr">
        <is>
          <t>Pendente</t>
        </is>
      </c>
      <c r="G452" s="45" t="n">
        <v>147</v>
      </c>
      <c r="H452" s="43" t="n">
        <v>405</v>
      </c>
      <c r="I452" s="46">
        <f>IF(H452=0,DATE(2026,10,29),IF(H452=1,DATE(2026,10,30),DATE(2026,11,2)+7*INT((H452-2)/3)+CHOOSE(MOD(H452-2,3)+1,0,2,4)))</f>
        <v/>
      </c>
    </row>
    <row r="453" ht="23.85" customHeight="1" s="24">
      <c r="A453" s="43" t="n">
        <v>452</v>
      </c>
      <c r="B453" s="44" t="inlineStr">
        <is>
          <t>Alto Império: de Augusto a Cômodo (27 a.C.–192 d.C.)</t>
        </is>
      </c>
      <c r="C453" s="45" t="inlineStr">
        <is>
          <t>c. 150</t>
        </is>
      </c>
      <c r="D453" s="44" t="inlineStr">
        <is>
          <t>Pintura e mosaico romanos</t>
        </is>
      </c>
      <c r="E453" s="44" t="inlineStr">
        <is>
          <t>Museo Nazionale Romano, Palazzo Massimo, Roma</t>
        </is>
      </c>
      <c r="F453" s="45" t="inlineStr">
        <is>
          <t>Pendente</t>
        </is>
      </c>
      <c r="G453" s="45" t="n">
        <v>150</v>
      </c>
      <c r="H453" s="43" t="n">
        <v>406</v>
      </c>
      <c r="I453" s="46">
        <f>IF(H453=0,DATE(2026,10,29),IF(H453=1,DATE(2026,10,30),DATE(2026,11,2)+7*INT((H453-2)/3)+CHOOSE(MOD(H453-2,3)+1,0,2,4)))</f>
        <v/>
      </c>
    </row>
    <row r="454" ht="23.85" customHeight="1" s="24">
      <c r="A454" s="43" t="n">
        <v>453</v>
      </c>
      <c r="B454" s="44" t="inlineStr">
        <is>
          <t>Alto Império: de Augusto a Cômodo (27 a.C.–192 d.C.)</t>
        </is>
      </c>
      <c r="C454" s="45" t="inlineStr">
        <is>
          <t>152</t>
        </is>
      </c>
      <c r="D454" s="44" t="inlineStr">
        <is>
          <t>Justino, o filósofo cristão em Roma</t>
        </is>
      </c>
      <c r="E454" s="44" t="inlineStr">
        <is>
          <t>A definir (Roma)</t>
        </is>
      </c>
      <c r="F454" s="45" t="inlineStr">
        <is>
          <t>Pendente</t>
        </is>
      </c>
      <c r="G454" s="45" t="n">
        <v>152</v>
      </c>
      <c r="H454" s="43" t="n">
        <v>407</v>
      </c>
      <c r="I454" s="46">
        <f>IF(H454=0,DATE(2026,10,29),IF(H454=1,DATE(2026,10,30),DATE(2026,11,2)+7*INT((H454-2)/3)+CHOOSE(MOD(H454-2,3)+1,0,2,4)))</f>
        <v/>
      </c>
    </row>
    <row r="455" ht="23.85" customHeight="1" s="24">
      <c r="A455" s="43" t="n">
        <v>454</v>
      </c>
      <c r="B455" s="44" t="inlineStr">
        <is>
          <t>Alto Império: de Augusto a Cômodo (27 a.C.–192 d.C.)</t>
        </is>
      </c>
      <c r="C455" s="45" t="inlineStr">
        <is>
          <t>155</t>
        </is>
      </c>
      <c r="D455" s="44" t="inlineStr">
        <is>
          <t>O Templo da deusa Roma</t>
        </is>
      </c>
      <c r="E455" s="44" t="inlineStr">
        <is>
          <t>A definir (Roma)</t>
        </is>
      </c>
      <c r="F455" s="45" t="inlineStr">
        <is>
          <t>Pendente</t>
        </is>
      </c>
      <c r="G455" s="45" t="n">
        <v>155</v>
      </c>
      <c r="H455" s="43" t="n">
        <v>408</v>
      </c>
      <c r="I455" s="46">
        <f>IF(H455=0,DATE(2026,10,29),IF(H455=1,DATE(2026,10,30),DATE(2026,11,2)+7*INT((H455-2)/3)+CHOOSE(MOD(H455-2,3)+1,0,2,4)))</f>
        <v/>
      </c>
    </row>
    <row r="456" ht="23.85" customHeight="1" s="24">
      <c r="A456" s="43" t="n">
        <v>455</v>
      </c>
      <c r="B456" s="44" t="inlineStr">
        <is>
          <t>Alto Império: de Augusto a Cômodo (27 a.C.–192 d.C.)</t>
        </is>
      </c>
      <c r="C456" s="45" t="inlineStr">
        <is>
          <t>c. 155</t>
        </is>
      </c>
      <c r="D456" s="44" t="inlineStr">
        <is>
          <t>O direito romano e os grandes juristas</t>
        </is>
      </c>
      <c r="E456" s="44" t="inlineStr">
        <is>
          <t>A definir (Roma)</t>
        </is>
      </c>
      <c r="F456" s="45" t="inlineStr">
        <is>
          <t>Pendente</t>
        </is>
      </c>
      <c r="G456" s="45" t="n">
        <v>155</v>
      </c>
      <c r="H456" s="43" t="n">
        <v>409</v>
      </c>
      <c r="I456" s="46">
        <f>IF(H456=0,DATE(2026,10,29),IF(H456=1,DATE(2026,10,30),DATE(2026,11,2)+7*INT((H456-2)/3)+CHOOSE(MOD(H456-2,3)+1,0,2,4)))</f>
        <v/>
      </c>
    </row>
    <row r="457" ht="23.85" customHeight="1" s="24">
      <c r="A457" s="43" t="n">
        <v>456</v>
      </c>
      <c r="B457" s="44" t="inlineStr">
        <is>
          <t>Alto Império: de Augusto a Cômodo (27 a.C.–192 d.C.)</t>
        </is>
      </c>
      <c r="C457" s="45" t="inlineStr">
        <is>
          <t>160</t>
        </is>
      </c>
      <c r="D457" s="44" t="inlineStr">
        <is>
          <t>A Coluna de Antonino Pio</t>
        </is>
      </c>
      <c r="E457" s="44" t="inlineStr">
        <is>
          <t>Museus do Vaticano, Roma</t>
        </is>
      </c>
      <c r="F457" s="45" t="inlineStr">
        <is>
          <t>Pendente</t>
        </is>
      </c>
      <c r="G457" s="45" t="n">
        <v>160</v>
      </c>
      <c r="H457" s="43" t="n">
        <v>410</v>
      </c>
      <c r="I457" s="46">
        <f>IF(H457=0,DATE(2026,10,29),IF(H457=1,DATE(2026,10,30),DATE(2026,11,2)+7*INT((H457-2)/3)+CHOOSE(MOD(H457-2,3)+1,0,2,4)))</f>
        <v/>
      </c>
    </row>
    <row r="458" ht="23.85" customHeight="1" s="24">
      <c r="A458" s="43" t="n">
        <v>457</v>
      </c>
      <c r="B458" s="44" t="inlineStr">
        <is>
          <t>Alto Império: de Augusto a Cômodo (27 a.C.–192 d.C.)</t>
        </is>
      </c>
      <c r="C458" s="45" t="inlineStr">
        <is>
          <t>c. 160</t>
        </is>
      </c>
      <c r="D458" s="44" t="inlineStr">
        <is>
          <t>A literatura latina: de Virgílio a Juvenal</t>
        </is>
      </c>
      <c r="E458" s="44" t="inlineStr">
        <is>
          <t>A definir (Roma)</t>
        </is>
      </c>
      <c r="F458" s="45" t="inlineStr">
        <is>
          <t>Pendente</t>
        </is>
      </c>
      <c r="G458" s="45" t="n">
        <v>160</v>
      </c>
      <c r="H458" s="43" t="n">
        <v>411</v>
      </c>
      <c r="I458" s="46">
        <f>IF(H458=0,DATE(2026,10,29),IF(H458=1,DATE(2026,10,30),DATE(2026,11,2)+7*INT((H458-2)/3)+CHOOSE(MOD(H458-2,3)+1,0,2,4)))</f>
        <v/>
      </c>
    </row>
    <row r="459" ht="23.85" customHeight="1" s="24">
      <c r="A459" s="43" t="n">
        <v>458</v>
      </c>
      <c r="B459" s="44" t="inlineStr">
        <is>
          <t>Alto Império: de Augusto a Cômodo (27 a.C.–192 d.C.)</t>
        </is>
      </c>
      <c r="C459" s="45" t="inlineStr">
        <is>
          <t>161</t>
        </is>
      </c>
      <c r="D459" s="44" t="inlineStr">
        <is>
          <t>Marco Aurélio e Lúcio Vero</t>
        </is>
      </c>
      <c r="E459" s="44" t="inlineStr">
        <is>
          <t>A definir (Roma)</t>
        </is>
      </c>
      <c r="F459" s="45" t="inlineStr">
        <is>
          <t>Pendente</t>
        </is>
      </c>
      <c r="G459" s="45" t="n">
        <v>161</v>
      </c>
      <c r="H459" s="43" t="n">
        <v>412</v>
      </c>
      <c r="I459" s="46">
        <f>IF(H459=0,DATE(2026,10,29),IF(H459=1,DATE(2026,10,30),DATE(2026,11,2)+7*INT((H459-2)/3)+CHOOSE(MOD(H459-2,3)+1,0,2,4)))</f>
        <v/>
      </c>
    </row>
    <row r="460" ht="23.85" customHeight="1" s="24">
      <c r="A460" s="43" t="n">
        <v>459</v>
      </c>
      <c r="B460" s="44" t="inlineStr">
        <is>
          <t>Alto Império: de Augusto a Cômodo (27 a.C.–192 d.C.)</t>
        </is>
      </c>
      <c r="C460" s="45" t="inlineStr">
        <is>
          <t>161</t>
        </is>
      </c>
      <c r="D460" s="44" t="inlineStr">
        <is>
          <t>Marco Aurélio, o imperador filósofo</t>
        </is>
      </c>
      <c r="E460" s="44" t="inlineStr">
        <is>
          <t>Campidoglio, Roma</t>
        </is>
      </c>
      <c r="F460" s="45" t="inlineStr">
        <is>
          <t>Pendente</t>
        </is>
      </c>
      <c r="G460" s="45" t="n">
        <v>161</v>
      </c>
      <c r="H460" s="43" t="n">
        <v>413</v>
      </c>
      <c r="I460" s="46">
        <f>IF(H460=0,DATE(2026,10,29),IF(H460=1,DATE(2026,10,30),DATE(2026,11,2)+7*INT((H460-2)/3)+CHOOSE(MOD(H460-2,3)+1,0,2,4)))</f>
        <v/>
      </c>
    </row>
    <row r="461" ht="23.85" customHeight="1" s="24">
      <c r="A461" s="43" t="n">
        <v>460</v>
      </c>
      <c r="B461" s="44" t="inlineStr">
        <is>
          <t>Alto Império: de Augusto a Cômodo (27 a.C.–192 d.C.)</t>
        </is>
      </c>
      <c r="C461" s="45" t="inlineStr">
        <is>
          <t>162</t>
        </is>
      </c>
      <c r="D461" s="44" t="inlineStr">
        <is>
          <t>A guerra contra os partos</t>
        </is>
      </c>
      <c r="E461" s="44" t="inlineStr">
        <is>
          <t>A definir (Roma)</t>
        </is>
      </c>
      <c r="F461" s="45" t="inlineStr">
        <is>
          <t>Pendente</t>
        </is>
      </c>
      <c r="G461" s="45" t="n">
        <v>162</v>
      </c>
      <c r="H461" s="43" t="n">
        <v>414</v>
      </c>
      <c r="I461" s="46">
        <f>IF(H461=0,DATE(2026,10,29),IF(H461=1,DATE(2026,10,30),DATE(2026,11,2)+7*INT((H461-2)/3)+CHOOSE(MOD(H461-2,3)+1,0,2,4)))</f>
        <v/>
      </c>
    </row>
    <row r="462" ht="23.85" customHeight="1" s="24">
      <c r="A462" s="43" t="n">
        <v>461</v>
      </c>
      <c r="B462" s="44" t="inlineStr">
        <is>
          <t>Alto Império: de Augusto a Cômodo (27 a.C.–192 d.C.)</t>
        </is>
      </c>
      <c r="C462" s="45" t="inlineStr">
        <is>
          <t>165</t>
        </is>
      </c>
      <c r="D462" s="44" t="inlineStr">
        <is>
          <t>A Peste Antonina</t>
        </is>
      </c>
      <c r="E462" s="44" t="inlineStr">
        <is>
          <t>A definir (Roma)</t>
        </is>
      </c>
      <c r="F462" s="45" t="inlineStr">
        <is>
          <t>Pendente</t>
        </is>
      </c>
      <c r="G462" s="45" t="n">
        <v>165</v>
      </c>
      <c r="H462" s="43" t="n">
        <v>415</v>
      </c>
      <c r="I462" s="46">
        <f>IF(H462=0,DATE(2026,10,29),IF(H462=1,DATE(2026,10,30),DATE(2026,11,2)+7*INT((H462-2)/3)+CHOOSE(MOD(H462-2,3)+1,0,2,4)))</f>
        <v/>
      </c>
    </row>
    <row r="463" ht="23.85" customHeight="1" s="24">
      <c r="A463" s="43" t="n">
        <v>462</v>
      </c>
      <c r="B463" s="44" t="inlineStr">
        <is>
          <t>Alto Império: de Augusto a Cômodo (27 a.C.–192 d.C.)</t>
        </is>
      </c>
      <c r="C463" s="45" t="inlineStr">
        <is>
          <t>c. 165</t>
        </is>
      </c>
      <c r="D463" s="44" t="inlineStr">
        <is>
          <t>Epitáfios e cemitérios da Via Ápia</t>
        </is>
      </c>
      <c r="E463" s="44" t="inlineStr">
        <is>
          <t>Via Ápia Antiga, Roma</t>
        </is>
      </c>
      <c r="F463" s="45" t="inlineStr">
        <is>
          <t>Pendente</t>
        </is>
      </c>
      <c r="G463" s="45" t="n">
        <v>165</v>
      </c>
      <c r="H463" s="43" t="n">
        <v>416</v>
      </c>
      <c r="I463" s="46">
        <f>IF(H463=0,DATE(2026,10,29),IF(H463=1,DATE(2026,10,30),DATE(2026,11,2)+7*INT((H463-2)/3)+CHOOSE(MOD(H463-2,3)+1,0,2,4)))</f>
        <v/>
      </c>
    </row>
    <row r="464" ht="23.85" customHeight="1" s="24">
      <c r="A464" s="43" t="n">
        <v>463</v>
      </c>
      <c r="B464" s="44" t="inlineStr">
        <is>
          <t>Alto Império: de Augusto a Cômodo (27 a.C.–192 d.C.)</t>
        </is>
      </c>
      <c r="C464" s="45" t="inlineStr">
        <is>
          <t>166</t>
        </is>
      </c>
      <c r="D464" s="44" t="inlineStr">
        <is>
          <t>A ameaça dos marcomanos</t>
        </is>
      </c>
      <c r="E464" s="44" t="inlineStr">
        <is>
          <t>A definir (Roma)</t>
        </is>
      </c>
      <c r="F464" s="45" t="inlineStr">
        <is>
          <t>Pendente</t>
        </is>
      </c>
      <c r="G464" s="45" t="n">
        <v>166</v>
      </c>
      <c r="H464" s="43" t="n">
        <v>417</v>
      </c>
      <c r="I464" s="46">
        <f>IF(H464=0,DATE(2026,10,29),IF(H464=1,DATE(2026,10,30),DATE(2026,11,2)+7*INT((H464-2)/3)+CHOOSE(MOD(H464-2,3)+1,0,2,4)))</f>
        <v/>
      </c>
    </row>
    <row r="465" ht="23.85" customHeight="1" s="24">
      <c r="A465" s="43" t="n">
        <v>464</v>
      </c>
      <c r="B465" s="44" t="inlineStr">
        <is>
          <t>Alto Império: de Augusto a Cômodo (27 a.C.–192 d.C.)</t>
        </is>
      </c>
      <c r="C465" s="45" t="inlineStr">
        <is>
          <t>169</t>
        </is>
      </c>
      <c r="D465" s="44" t="inlineStr">
        <is>
          <t>A morte de Lúcio Vero</t>
        </is>
      </c>
      <c r="E465" s="44" t="inlineStr">
        <is>
          <t>A definir (Roma)</t>
        </is>
      </c>
      <c r="F465" s="45" t="inlineStr">
        <is>
          <t>Pendente</t>
        </is>
      </c>
      <c r="G465" s="45" t="n">
        <v>169</v>
      </c>
      <c r="H465" s="43" t="n">
        <v>418</v>
      </c>
      <c r="I465" s="46">
        <f>IF(H465=0,DATE(2026,10,29),IF(H465=1,DATE(2026,10,30),DATE(2026,11,2)+7*INT((H465-2)/3)+CHOOSE(MOD(H465-2,3)+1,0,2,4)))</f>
        <v/>
      </c>
    </row>
    <row r="466" ht="23.85" customHeight="1" s="24">
      <c r="A466" s="43" t="n">
        <v>465</v>
      </c>
      <c r="B466" s="44" t="inlineStr">
        <is>
          <t>Alto Império: de Augusto a Cômodo (27 a.C.–192 d.C.)</t>
        </is>
      </c>
      <c r="C466" s="45" t="inlineStr">
        <is>
          <t>170</t>
        </is>
      </c>
      <c r="D466" s="44" t="inlineStr">
        <is>
          <t>Galeno, o médico de Roma</t>
        </is>
      </c>
      <c r="E466" s="44" t="inlineStr">
        <is>
          <t>A definir (Roma)</t>
        </is>
      </c>
      <c r="F466" s="45" t="inlineStr">
        <is>
          <t>Pendente</t>
        </is>
      </c>
      <c r="G466" s="45" t="n">
        <v>170</v>
      </c>
      <c r="H466" s="43" t="n">
        <v>419</v>
      </c>
      <c r="I466" s="46">
        <f>IF(H466=0,DATE(2026,10,29),IF(H466=1,DATE(2026,10,30),DATE(2026,11,2)+7*INT((H466-2)/3)+CHOOSE(MOD(H466-2,3)+1,0,2,4)))</f>
        <v/>
      </c>
    </row>
    <row r="467" ht="23.85" customHeight="1" s="24">
      <c r="A467" s="43" t="n">
        <v>466</v>
      </c>
      <c r="B467" s="44" t="inlineStr">
        <is>
          <t>Alto Império: de Augusto a Cômodo (27 a.C.–192 d.C.)</t>
        </is>
      </c>
      <c r="C467" s="45" t="inlineStr">
        <is>
          <t>c. 170</t>
        </is>
      </c>
      <c r="D467" s="44" t="inlineStr">
        <is>
          <t>Quantos eram os romanos? A população de Roma</t>
        </is>
      </c>
      <c r="E467" s="44" t="inlineStr">
        <is>
          <t>A definir (Roma)</t>
        </is>
      </c>
      <c r="F467" s="45" t="inlineStr">
        <is>
          <t>Pendente</t>
        </is>
      </c>
      <c r="G467" s="45" t="n">
        <v>170</v>
      </c>
      <c r="H467" s="43" t="n">
        <v>420</v>
      </c>
      <c r="I467" s="46">
        <f>IF(H467=0,DATE(2026,10,29),IF(H467=1,DATE(2026,10,30),DATE(2026,11,2)+7*INT((H467-2)/3)+CHOOSE(MOD(H467-2,3)+1,0,2,4)))</f>
        <v/>
      </c>
    </row>
    <row r="468" ht="23.85" customHeight="1" s="24">
      <c r="A468" s="43" t="n">
        <v>467</v>
      </c>
      <c r="B468" s="44" t="inlineStr">
        <is>
          <t>Alto Império: de Augusto a Cômodo (27 a.C.–192 d.C.)</t>
        </is>
      </c>
      <c r="C468" s="45" t="inlineStr">
        <is>
          <t>172</t>
        </is>
      </c>
      <c r="D468" s="44" t="inlineStr">
        <is>
          <t>A guerra marcomana</t>
        </is>
      </c>
      <c r="E468" s="44" t="inlineStr">
        <is>
          <t>A definir (Roma)</t>
        </is>
      </c>
      <c r="F468" s="45" t="inlineStr">
        <is>
          <t>Pendente</t>
        </is>
      </c>
      <c r="G468" s="45" t="n">
        <v>172</v>
      </c>
      <c r="H468" s="43" t="n">
        <v>421</v>
      </c>
      <c r="I468" s="46">
        <f>IF(H468=0,DATE(2026,10,29),IF(H468=1,DATE(2026,10,30),DATE(2026,11,2)+7*INT((H468-2)/3)+CHOOSE(MOD(H468-2,3)+1,0,2,4)))</f>
        <v/>
      </c>
    </row>
    <row r="469" ht="23.85" customHeight="1" s="24">
      <c r="A469" s="43" t="n">
        <v>468</v>
      </c>
      <c r="B469" s="44" t="inlineStr">
        <is>
          <t>Alto Império: de Augusto a Cômodo (27 a.C.–192 d.C.)</t>
        </is>
      </c>
      <c r="C469" s="45" t="inlineStr">
        <is>
          <t>175</t>
        </is>
      </c>
      <c r="D469" s="44" t="inlineStr">
        <is>
          <t>A revolta de Avídio Cássio</t>
        </is>
      </c>
      <c r="E469" s="44" t="inlineStr">
        <is>
          <t>A definir (Roma)</t>
        </is>
      </c>
      <c r="F469" s="45" t="inlineStr">
        <is>
          <t>Pendente</t>
        </is>
      </c>
      <c r="G469" s="45" t="n">
        <v>175</v>
      </c>
      <c r="H469" s="43" t="n">
        <v>422</v>
      </c>
      <c r="I469" s="46">
        <f>IF(H469=0,DATE(2026,10,29),IF(H469=1,DATE(2026,10,30),DATE(2026,11,2)+7*INT((H469-2)/3)+CHOOSE(MOD(H469-2,3)+1,0,2,4)))</f>
        <v/>
      </c>
    </row>
    <row r="470" ht="23.85" customHeight="1" s="24">
      <c r="A470" s="43" t="n">
        <v>469</v>
      </c>
      <c r="B470" s="44" t="inlineStr">
        <is>
          <t>Alto Império: de Augusto a Cômodo (27 a.C.–192 d.C.)</t>
        </is>
      </c>
      <c r="C470" s="45" t="inlineStr">
        <is>
          <t>c. 175</t>
        </is>
      </c>
      <c r="D470" s="44" t="inlineStr">
        <is>
          <t>Moda e penteados na Roma imperial</t>
        </is>
      </c>
      <c r="E470" s="44" t="inlineStr">
        <is>
          <t>Museo Nazionale Romano, Palazzo Massimo, Roma</t>
        </is>
      </c>
      <c r="F470" s="45" t="inlineStr">
        <is>
          <t>Pendente</t>
        </is>
      </c>
      <c r="G470" s="45" t="n">
        <v>175</v>
      </c>
      <c r="H470" s="43" t="n">
        <v>423</v>
      </c>
      <c r="I470" s="46">
        <f>IF(H470=0,DATE(2026,10,29),IF(H470=1,DATE(2026,10,30),DATE(2026,11,2)+7*INT((H470-2)/3)+CHOOSE(MOD(H470-2,3)+1,0,2,4)))</f>
        <v/>
      </c>
    </row>
    <row r="471" ht="23.85" customHeight="1" s="24">
      <c r="A471" s="43" t="n">
        <v>470</v>
      </c>
      <c r="B471" s="44" t="inlineStr">
        <is>
          <t>Alto Império: de Augusto a Cômodo (27 a.C.–192 d.C.)</t>
        </is>
      </c>
      <c r="C471" s="45" t="inlineStr">
        <is>
          <t>176</t>
        </is>
      </c>
      <c r="D471" s="44" t="inlineStr">
        <is>
          <t>A estátua equestre de Marco Aurélio</t>
        </is>
      </c>
      <c r="E471" s="44" t="inlineStr">
        <is>
          <t>Campidoglio, Roma</t>
        </is>
      </c>
      <c r="F471" s="45" t="inlineStr">
        <is>
          <t>Pendente</t>
        </is>
      </c>
      <c r="G471" s="45" t="n">
        <v>176</v>
      </c>
      <c r="H471" s="43" t="n">
        <v>424</v>
      </c>
      <c r="I471" s="46">
        <f>IF(H471=0,DATE(2026,10,29),IF(H471=1,DATE(2026,10,30),DATE(2026,11,2)+7*INT((H471-2)/3)+CHOOSE(MOD(H471-2,3)+1,0,2,4)))</f>
        <v/>
      </c>
    </row>
    <row r="472" ht="23.85" customHeight="1" s="24">
      <c r="A472" s="43" t="n">
        <v>471</v>
      </c>
      <c r="B472" s="44" t="inlineStr">
        <is>
          <t>Alto Império: de Augusto a Cômodo (27 a.C.–192 d.C.)</t>
        </is>
      </c>
      <c r="C472" s="45" t="inlineStr">
        <is>
          <t>176</t>
        </is>
      </c>
      <c r="D472" s="44" t="inlineStr">
        <is>
          <t>O triunfo e a Coluna de Marco Aurélio</t>
        </is>
      </c>
      <c r="E472" s="44" t="inlineStr">
        <is>
          <t>Coluna de Marco Aurélio, Roma</t>
        </is>
      </c>
      <c r="F472" s="45" t="inlineStr">
        <is>
          <t>Pendente</t>
        </is>
      </c>
      <c r="G472" s="45" t="n">
        <v>176</v>
      </c>
      <c r="H472" s="43" t="n">
        <v>425</v>
      </c>
      <c r="I472" s="46">
        <f>IF(H472=0,DATE(2026,10,29),IF(H472=1,DATE(2026,10,30),DATE(2026,11,2)+7*INT((H472-2)/3)+CHOOSE(MOD(H472-2,3)+1,0,2,4)))</f>
        <v/>
      </c>
    </row>
    <row r="473" ht="23.85" customHeight="1" s="24">
      <c r="A473" s="43" t="n">
        <v>472</v>
      </c>
      <c r="B473" s="44" t="inlineStr">
        <is>
          <t>Alto Império: de Augusto a Cômodo (27 a.C.–192 d.C.)</t>
        </is>
      </c>
      <c r="C473" s="45" t="inlineStr">
        <is>
          <t>177</t>
        </is>
      </c>
      <c r="D473" s="44" t="inlineStr">
        <is>
          <t>A perseguição de Lyon</t>
        </is>
      </c>
      <c r="E473" s="44" t="inlineStr">
        <is>
          <t>A definir (Roma)</t>
        </is>
      </c>
      <c r="F473" s="45" t="inlineStr">
        <is>
          <t>Pendente</t>
        </is>
      </c>
      <c r="G473" s="45" t="n">
        <v>177</v>
      </c>
      <c r="H473" s="43" t="n">
        <v>426</v>
      </c>
      <c r="I473" s="46">
        <f>IF(H473=0,DATE(2026,10,29),IF(H473=1,DATE(2026,10,30),DATE(2026,11,2)+7*INT((H473-2)/3)+CHOOSE(MOD(H473-2,3)+1,0,2,4)))</f>
        <v/>
      </c>
    </row>
    <row r="474" ht="23.85" customHeight="1" s="24">
      <c r="A474" s="43" t="n">
        <v>473</v>
      </c>
      <c r="B474" s="44" t="inlineStr">
        <is>
          <t>Alto Império: de Augusto a Cômodo (27 a.C.–192 d.C.)</t>
        </is>
      </c>
      <c r="C474" s="45" t="inlineStr">
        <is>
          <t>180</t>
        </is>
      </c>
      <c r="D474" s="44" t="inlineStr">
        <is>
          <t>A morte de Marco Aurélio</t>
        </is>
      </c>
      <c r="E474" s="44" t="inlineStr">
        <is>
          <t>A definir (Roma)</t>
        </is>
      </c>
      <c r="F474" s="45" t="inlineStr">
        <is>
          <t>Pendente</t>
        </is>
      </c>
      <c r="G474" s="45" t="n">
        <v>180</v>
      </c>
      <c r="H474" s="43" t="n">
        <v>427</v>
      </c>
      <c r="I474" s="46">
        <f>IF(H474=0,DATE(2026,10,29),IF(H474=1,DATE(2026,10,30),DATE(2026,11,2)+7*INT((H474-2)/3)+CHOOSE(MOD(H474-2,3)+1,0,2,4)))</f>
        <v/>
      </c>
    </row>
    <row r="475" ht="23.85" customHeight="1" s="24">
      <c r="A475" s="43" t="n">
        <v>474</v>
      </c>
      <c r="B475" s="44" t="inlineStr">
        <is>
          <t>Alto Império: de Augusto a Cômodo (27 a.C.–192 d.C.)</t>
        </is>
      </c>
      <c r="C475" s="45" t="inlineStr">
        <is>
          <t>180</t>
        </is>
      </c>
      <c r="D475" s="44" t="inlineStr">
        <is>
          <t>Cômodo: o imperador gladiador</t>
        </is>
      </c>
      <c r="E475" s="44" t="inlineStr">
        <is>
          <t>Coliseu, Roma</t>
        </is>
      </c>
      <c r="F475" s="45" t="inlineStr">
        <is>
          <t>Pendente</t>
        </is>
      </c>
      <c r="G475" s="45" t="n">
        <v>180</v>
      </c>
      <c r="H475" s="43" t="n">
        <v>428</v>
      </c>
      <c r="I475" s="46">
        <f>IF(H475=0,DATE(2026,10,29),IF(H475=1,DATE(2026,10,30),DATE(2026,11,2)+7*INT((H475-2)/3)+CHOOSE(MOD(H475-2,3)+1,0,2,4)))</f>
        <v/>
      </c>
    </row>
    <row r="476" ht="23.85" customHeight="1" s="24">
      <c r="A476" s="43" t="n">
        <v>475</v>
      </c>
      <c r="B476" s="44" t="inlineStr">
        <is>
          <t>Alto Império: de Augusto a Cômodo (27 a.C.–192 d.C.)</t>
        </is>
      </c>
      <c r="C476" s="45" t="inlineStr">
        <is>
          <t>c. 180</t>
        </is>
      </c>
      <c r="D476" s="44" t="inlineStr">
        <is>
          <t>O calendário romano e as festas do ano</t>
        </is>
      </c>
      <c r="E476" s="44" t="inlineStr">
        <is>
          <t>Fórum Romano, Roma</t>
        </is>
      </c>
      <c r="F476" s="45" t="inlineStr">
        <is>
          <t>Pendente</t>
        </is>
      </c>
      <c r="G476" s="45" t="n">
        <v>180</v>
      </c>
      <c r="H476" s="43" t="n">
        <v>429</v>
      </c>
      <c r="I476" s="46">
        <f>IF(H476=0,DATE(2026,10,29),IF(H476=1,DATE(2026,10,30),DATE(2026,11,2)+7*INT((H476-2)/3)+CHOOSE(MOD(H476-2,3)+1,0,2,4)))</f>
        <v/>
      </c>
    </row>
    <row r="477" ht="23.85" customHeight="1" s="24">
      <c r="A477" s="43" t="n">
        <v>476</v>
      </c>
      <c r="B477" s="44" t="inlineStr">
        <is>
          <t>Alto Império: de Augusto a Cômodo (27 a.C.–192 d.C.)</t>
        </is>
      </c>
      <c r="C477" s="45" t="inlineStr">
        <is>
          <t>182</t>
        </is>
      </c>
      <c r="D477" s="44" t="inlineStr">
        <is>
          <t>A conspiração de Lucila</t>
        </is>
      </c>
      <c r="E477" s="44" t="inlineStr">
        <is>
          <t>A definir (Roma)</t>
        </is>
      </c>
      <c r="F477" s="45" t="inlineStr">
        <is>
          <t>Pendente</t>
        </is>
      </c>
      <c r="G477" s="45" t="n">
        <v>182</v>
      </c>
      <c r="H477" s="43" t="n">
        <v>430</v>
      </c>
      <c r="I477" s="46">
        <f>IF(H477=0,DATE(2026,10,29),IF(H477=1,DATE(2026,10,30),DATE(2026,11,2)+7*INT((H477-2)/3)+CHOOSE(MOD(H477-2,3)+1,0,2,4)))</f>
        <v/>
      </c>
    </row>
    <row r="478" ht="23.85" customHeight="1" s="24">
      <c r="A478" s="43" t="n">
        <v>477</v>
      </c>
      <c r="B478" s="44" t="inlineStr">
        <is>
          <t>Alto Império: de Augusto a Cômodo (27 a.C.–192 d.C.)</t>
        </is>
      </c>
      <c r="C478" s="45" t="inlineStr">
        <is>
          <t>185</t>
        </is>
      </c>
      <c r="D478" s="44" t="inlineStr">
        <is>
          <t>O incêndio do Templo da Paz</t>
        </is>
      </c>
      <c r="E478" s="44" t="inlineStr">
        <is>
          <t>A definir (Roma)</t>
        </is>
      </c>
      <c r="F478" s="45" t="inlineStr">
        <is>
          <t>Pendente</t>
        </is>
      </c>
      <c r="G478" s="45" t="n">
        <v>185</v>
      </c>
      <c r="H478" s="43" t="n">
        <v>431</v>
      </c>
      <c r="I478" s="46">
        <f>IF(H478=0,DATE(2026,10,29),IF(H478=1,DATE(2026,10,30),DATE(2026,11,2)+7*INT((H478-2)/3)+CHOOSE(MOD(H478-2,3)+1,0,2,4)))</f>
        <v/>
      </c>
    </row>
    <row r="479" ht="23.85" customHeight="1" s="24">
      <c r="A479" s="43" t="n">
        <v>478</v>
      </c>
      <c r="B479" s="44" t="inlineStr">
        <is>
          <t>Alto Império: de Augusto a Cômodo (27 a.C.–192 d.C.)</t>
        </is>
      </c>
      <c r="C479" s="45" t="inlineStr">
        <is>
          <t>c. 185</t>
        </is>
      </c>
      <c r="D479" s="44" t="inlineStr">
        <is>
          <t>As ruas de Óstia: a cidade-porto</t>
        </is>
      </c>
      <c r="E479" s="44" t="inlineStr">
        <is>
          <t>Óstia Antiga</t>
        </is>
      </c>
      <c r="F479" s="45" t="inlineStr">
        <is>
          <t>Pendente</t>
        </is>
      </c>
      <c r="G479" s="45" t="n">
        <v>185</v>
      </c>
      <c r="H479" s="43" t="n">
        <v>432</v>
      </c>
      <c r="I479" s="46">
        <f>IF(H479=0,DATE(2026,10,29),IF(H479=1,DATE(2026,10,30),DATE(2026,11,2)+7*INT((H479-2)/3)+CHOOSE(MOD(H479-2,3)+1,0,2,4)))</f>
        <v/>
      </c>
    </row>
    <row r="480" ht="23.85" customHeight="1" s="24">
      <c r="A480" s="43" t="n">
        <v>479</v>
      </c>
      <c r="B480" s="44" t="inlineStr">
        <is>
          <t>Alto Império: de Augusto a Cômodo (27 a.C.–192 d.C.)</t>
        </is>
      </c>
      <c r="C480" s="45" t="inlineStr">
        <is>
          <t>190</t>
        </is>
      </c>
      <c r="D480" s="44" t="inlineStr">
        <is>
          <t>Os cristãos em Roma sob Cômodo</t>
        </is>
      </c>
      <c r="E480" s="44" t="inlineStr">
        <is>
          <t>Catacumbas, Roma</t>
        </is>
      </c>
      <c r="F480" s="45" t="inlineStr">
        <is>
          <t>Pendente</t>
        </is>
      </c>
      <c r="G480" s="45" t="n">
        <v>190</v>
      </c>
      <c r="H480" s="43" t="n">
        <v>433</v>
      </c>
      <c r="I480" s="46">
        <f>IF(H480=0,DATE(2026,10,29),IF(H480=1,DATE(2026,10,30),DATE(2026,11,2)+7*INT((H480-2)/3)+CHOOSE(MOD(H480-2,3)+1,0,2,4)))</f>
        <v/>
      </c>
    </row>
    <row r="481" ht="23.85" customHeight="1" s="24">
      <c r="A481" s="43" t="n">
        <v>480</v>
      </c>
      <c r="B481" s="44" t="inlineStr">
        <is>
          <t>Alto Império: de Augusto a Cômodo (27 a.C.–192 d.C.)</t>
        </is>
      </c>
      <c r="C481" s="45" t="inlineStr">
        <is>
          <t>c. 190</t>
        </is>
      </c>
      <c r="D481" s="44" t="inlineStr">
        <is>
          <t>O fim do Alto Império: um balanço</t>
        </is>
      </c>
      <c r="E481" s="44" t="inlineStr">
        <is>
          <t>A definir (Roma)</t>
        </is>
      </c>
      <c r="F481" s="45" t="inlineStr">
        <is>
          <t>Pendente</t>
        </is>
      </c>
      <c r="G481" s="45" t="n">
        <v>190</v>
      </c>
      <c r="H481" s="43" t="n">
        <v>434</v>
      </c>
      <c r="I481" s="46">
        <f>IF(H481=0,DATE(2026,10,29),IF(H481=1,DATE(2026,10,30),DATE(2026,11,2)+7*INT((H481-2)/3)+CHOOSE(MOD(H481-2,3)+1,0,2,4)))</f>
        <v/>
      </c>
    </row>
    <row r="482" ht="23.85" customHeight="1" s="24">
      <c r="A482" s="43" t="n">
        <v>481</v>
      </c>
      <c r="B482" s="44" t="inlineStr">
        <is>
          <t>Alto Império: de Augusto a Cômodo (27 a.C.–192 d.C.)</t>
        </is>
      </c>
      <c r="C482" s="45" t="inlineStr">
        <is>
          <t>192</t>
        </is>
      </c>
      <c r="D482" s="44" t="inlineStr">
        <is>
          <t>O assassinato de Cômodo</t>
        </is>
      </c>
      <c r="E482" s="44" t="inlineStr">
        <is>
          <t>A definir (Roma)</t>
        </is>
      </c>
      <c r="F482" s="45" t="inlineStr">
        <is>
          <t>Pendente</t>
        </is>
      </c>
      <c r="G482" s="45" t="n">
        <v>192</v>
      </c>
      <c r="H482" s="43" t="n">
        <v>435</v>
      </c>
      <c r="I482" s="46">
        <f>IF(H482=0,DATE(2026,10,29),IF(H482=1,DATE(2026,10,30),DATE(2026,11,2)+7*INT((H482-2)/3)+CHOOSE(MOD(H482-2,3)+1,0,2,4)))</f>
        <v/>
      </c>
    </row>
    <row r="483" ht="15" customHeight="1" s="24">
      <c r="A483" s="43" t="n">
        <v>482</v>
      </c>
      <c r="B483" s="44" t="inlineStr">
        <is>
          <t>Crise e Império tardio (193–476 d.C.)</t>
        </is>
      </c>
      <c r="C483" s="45" t="inlineStr">
        <is>
          <t>193</t>
        </is>
      </c>
      <c r="D483" s="44" t="inlineStr">
        <is>
          <t>O ano dos cinco imperadores</t>
        </is>
      </c>
      <c r="E483" s="44" t="inlineStr">
        <is>
          <t>A definir (Roma)</t>
        </is>
      </c>
      <c r="F483" s="45" t="inlineStr">
        <is>
          <t>Pendente</t>
        </is>
      </c>
      <c r="G483" s="45" t="n">
        <v>193</v>
      </c>
      <c r="H483" s="43" t="n">
        <v>436</v>
      </c>
      <c r="I483" s="46">
        <f>IF(H483=0,DATE(2026,10,29),IF(H483=1,DATE(2026,10,30),DATE(2026,11,2)+7*INT((H483-2)/3)+CHOOSE(MOD(H483-2,3)+1,0,2,4)))</f>
        <v/>
      </c>
    </row>
    <row r="484" ht="15" customHeight="1" s="24">
      <c r="A484" s="43" t="n">
        <v>483</v>
      </c>
      <c r="B484" s="44" t="inlineStr">
        <is>
          <t>Crise e Império tardio (193–476 d.C.)</t>
        </is>
      </c>
      <c r="C484" s="45" t="inlineStr">
        <is>
          <t>193</t>
        </is>
      </c>
      <c r="D484" s="44" t="inlineStr">
        <is>
          <t>Sétimo Severo e a dinastia africana</t>
        </is>
      </c>
      <c r="E484" s="44" t="inlineStr">
        <is>
          <t>A definir (Roma)</t>
        </is>
      </c>
      <c r="F484" s="45" t="inlineStr">
        <is>
          <t>Pendente</t>
        </is>
      </c>
      <c r="G484" s="45" t="n">
        <v>193</v>
      </c>
      <c r="H484" s="43" t="n">
        <v>437</v>
      </c>
      <c r="I484" s="46">
        <f>IF(H484=0,DATE(2026,10,29),IF(H484=1,DATE(2026,10,30),DATE(2026,11,2)+7*INT((H484-2)/3)+CHOOSE(MOD(H484-2,3)+1,0,2,4)))</f>
        <v/>
      </c>
    </row>
    <row r="485" ht="15" customHeight="1" s="24">
      <c r="A485" s="43" t="n">
        <v>484</v>
      </c>
      <c r="B485" s="44" t="inlineStr">
        <is>
          <t>Crise e Império tardio (193–476 d.C.)</t>
        </is>
      </c>
      <c r="C485" s="45" t="inlineStr">
        <is>
          <t>195</t>
        </is>
      </c>
      <c r="D485" s="44" t="inlineStr">
        <is>
          <t>Sétimo Severo e a guerra contra os partos</t>
        </is>
      </c>
      <c r="E485" s="44" t="inlineStr">
        <is>
          <t>A definir (Roma)</t>
        </is>
      </c>
      <c r="F485" s="45" t="inlineStr">
        <is>
          <t>Pendente</t>
        </is>
      </c>
      <c r="G485" s="45" t="n">
        <v>195</v>
      </c>
      <c r="H485" s="43" t="n">
        <v>438</v>
      </c>
      <c r="I485" s="46">
        <f>IF(H485=0,DATE(2026,10,29),IF(H485=1,DATE(2026,10,30),DATE(2026,11,2)+7*INT((H485-2)/3)+CHOOSE(MOD(H485-2,3)+1,0,2,4)))</f>
        <v/>
      </c>
    </row>
    <row r="486" ht="15" customHeight="1" s="24">
      <c r="A486" s="43" t="n">
        <v>485</v>
      </c>
      <c r="B486" s="44" t="inlineStr">
        <is>
          <t>Crise e Império tardio (193–476 d.C.)</t>
        </is>
      </c>
      <c r="C486" s="45" t="inlineStr">
        <is>
          <t>200</t>
        </is>
      </c>
      <c r="D486" s="44" t="inlineStr">
        <is>
          <t>O Septizonium de Sétimo Severo</t>
        </is>
      </c>
      <c r="E486" s="44" t="inlineStr">
        <is>
          <t>Palatino, Roma</t>
        </is>
      </c>
      <c r="F486" s="45" t="inlineStr">
        <is>
          <t>Pendente</t>
        </is>
      </c>
      <c r="G486" s="45" t="n">
        <v>200</v>
      </c>
      <c r="H486" s="43" t="n">
        <v>439</v>
      </c>
      <c r="I486" s="46">
        <f>IF(H486=0,DATE(2026,10,29),IF(H486=1,DATE(2026,10,30),DATE(2026,11,2)+7*INT((H486-2)/3)+CHOOSE(MOD(H486-2,3)+1,0,2,4)))</f>
        <v/>
      </c>
    </row>
    <row r="487" ht="15" customHeight="1" s="24">
      <c r="A487" s="43" t="n">
        <v>486</v>
      </c>
      <c r="B487" s="44" t="inlineStr">
        <is>
          <t>Crise e Império tardio (193–476 d.C.)</t>
        </is>
      </c>
      <c r="C487" s="45" t="inlineStr">
        <is>
          <t>203</t>
        </is>
      </c>
      <c r="D487" s="44" t="inlineStr">
        <is>
          <t>O Arco de Sétimo Severo</t>
        </is>
      </c>
      <c r="E487" s="44" t="inlineStr">
        <is>
          <t>Fórum Romano, Roma</t>
        </is>
      </c>
      <c r="F487" s="45" t="inlineStr">
        <is>
          <t>Pendente</t>
        </is>
      </c>
      <c r="G487" s="45" t="n">
        <v>203</v>
      </c>
      <c r="H487" s="43" t="n">
        <v>440</v>
      </c>
      <c r="I487" s="46">
        <f>IF(H487=0,DATE(2026,10,29),IF(H487=1,DATE(2026,10,30),DATE(2026,11,2)+7*INT((H487-2)/3)+CHOOSE(MOD(H487-2,3)+1,0,2,4)))</f>
        <v/>
      </c>
    </row>
    <row r="488" ht="15" customHeight="1" s="24">
      <c r="A488" s="43" t="n">
        <v>487</v>
      </c>
      <c r="B488" s="44" t="inlineStr">
        <is>
          <t>Crise e Império tardio (193–476 d.C.)</t>
        </is>
      </c>
      <c r="C488" s="45" t="inlineStr">
        <is>
          <t>203</t>
        </is>
      </c>
      <c r="D488" s="44" t="inlineStr">
        <is>
          <t>O Arco dos Argentários</t>
        </is>
      </c>
      <c r="E488" s="44" t="inlineStr">
        <is>
          <t>Fórum Boário, Roma</t>
        </is>
      </c>
      <c r="F488" s="45" t="inlineStr">
        <is>
          <t>Pendente</t>
        </is>
      </c>
      <c r="G488" s="45" t="n">
        <v>203</v>
      </c>
      <c r="H488" s="43" t="n">
        <v>441</v>
      </c>
      <c r="I488" s="46">
        <f>IF(H488=0,DATE(2026,10,29),IF(H488=1,DATE(2026,10,30),DATE(2026,11,2)+7*INT((H488-2)/3)+CHOOSE(MOD(H488-2,3)+1,0,2,4)))</f>
        <v/>
      </c>
    </row>
    <row r="489" ht="15" customHeight="1" s="24">
      <c r="A489" s="43" t="n">
        <v>488</v>
      </c>
      <c r="B489" s="44" t="inlineStr">
        <is>
          <t>Crise e Império tardio (193–476 d.C.)</t>
        </is>
      </c>
      <c r="C489" s="45" t="inlineStr">
        <is>
          <t>208</t>
        </is>
      </c>
      <c r="D489" s="44" t="inlineStr">
        <is>
          <t>Os Severos na Britânia</t>
        </is>
      </c>
      <c r="E489" s="44" t="inlineStr">
        <is>
          <t>A definir (Roma)</t>
        </is>
      </c>
      <c r="F489" s="45" t="inlineStr">
        <is>
          <t>Pendente</t>
        </is>
      </c>
      <c r="G489" s="45" t="n">
        <v>208</v>
      </c>
      <c r="H489" s="43" t="n">
        <v>442</v>
      </c>
      <c r="I489" s="46">
        <f>IF(H489=0,DATE(2026,10,29),IF(H489=1,DATE(2026,10,30),DATE(2026,11,2)+7*INT((H489-2)/3)+CHOOSE(MOD(H489-2,3)+1,0,2,4)))</f>
        <v/>
      </c>
    </row>
    <row r="490" ht="15" customHeight="1" s="24">
      <c r="A490" s="43" t="n">
        <v>489</v>
      </c>
      <c r="B490" s="44" t="inlineStr">
        <is>
          <t>Crise e Império tardio (193–476 d.C.)</t>
        </is>
      </c>
      <c r="C490" s="45" t="inlineStr">
        <is>
          <t>211</t>
        </is>
      </c>
      <c r="D490" s="44" t="inlineStr">
        <is>
          <t>Caracalla e Geta: o fratricídio</t>
        </is>
      </c>
      <c r="E490" s="44" t="inlineStr">
        <is>
          <t>A definir (Roma)</t>
        </is>
      </c>
      <c r="F490" s="45" t="inlineStr">
        <is>
          <t>Pendente</t>
        </is>
      </c>
      <c r="G490" s="45" t="n">
        <v>211</v>
      </c>
      <c r="H490" s="43" t="n">
        <v>443</v>
      </c>
      <c r="I490" s="46">
        <f>IF(H490=0,DATE(2026,10,29),IF(H490=1,DATE(2026,10,30),DATE(2026,11,2)+7*INT((H490-2)/3)+CHOOSE(MOD(H490-2,3)+1,0,2,4)))</f>
        <v/>
      </c>
    </row>
    <row r="491" ht="15" customHeight="1" s="24">
      <c r="A491" s="43" t="n">
        <v>490</v>
      </c>
      <c r="B491" s="44" t="inlineStr">
        <is>
          <t>Crise e Império tardio (193–476 d.C.)</t>
        </is>
      </c>
      <c r="C491" s="45" t="inlineStr">
        <is>
          <t>212</t>
        </is>
      </c>
      <c r="D491" s="44" t="inlineStr">
        <is>
          <t>A Constituição Antonina: todos viram cidadãos</t>
        </is>
      </c>
      <c r="E491" s="44" t="inlineStr">
        <is>
          <t>A definir (Roma)</t>
        </is>
      </c>
      <c r="F491" s="45" t="inlineStr">
        <is>
          <t>Pendente</t>
        </is>
      </c>
      <c r="G491" s="45" t="n">
        <v>212</v>
      </c>
      <c r="H491" s="43" t="n">
        <v>444</v>
      </c>
      <c r="I491" s="46">
        <f>IF(H491=0,DATE(2026,10,29),IF(H491=1,DATE(2026,10,30),DATE(2026,11,2)+7*INT((H491-2)/3)+CHOOSE(MOD(H491-2,3)+1,0,2,4)))</f>
        <v/>
      </c>
    </row>
    <row r="492" ht="15" customHeight="1" s="24">
      <c r="A492" s="43" t="n">
        <v>491</v>
      </c>
      <c r="B492" s="44" t="inlineStr">
        <is>
          <t>Crise e Império tardio (193–476 d.C.)</t>
        </is>
      </c>
      <c r="C492" s="45" t="inlineStr">
        <is>
          <t>212</t>
        </is>
      </c>
      <c r="D492" s="44" t="inlineStr">
        <is>
          <t>As Termas de Caracalla</t>
        </is>
      </c>
      <c r="E492" s="44" t="inlineStr">
        <is>
          <t>Termas de Caracalla, Roma</t>
        </is>
      </c>
      <c r="F492" s="45" t="inlineStr">
        <is>
          <t>Pendente</t>
        </is>
      </c>
      <c r="G492" s="45" t="n">
        <v>212</v>
      </c>
      <c r="H492" s="43" t="n">
        <v>445</v>
      </c>
      <c r="I492" s="46">
        <f>IF(H492=0,DATE(2026,10,29),IF(H492=1,DATE(2026,10,30),DATE(2026,11,2)+7*INT((H492-2)/3)+CHOOSE(MOD(H492-2,3)+1,0,2,4)))</f>
        <v/>
      </c>
    </row>
    <row r="493" ht="15" customHeight="1" s="24">
      <c r="A493" s="43" t="n">
        <v>492</v>
      </c>
      <c r="B493" s="44" t="inlineStr">
        <is>
          <t>Crise e Império tardio (193–476 d.C.)</t>
        </is>
      </c>
      <c r="C493" s="45" t="inlineStr">
        <is>
          <t>217</t>
        </is>
      </c>
      <c r="D493" s="44" t="inlineStr">
        <is>
          <t>O assassinato de Caracalla</t>
        </is>
      </c>
      <c r="E493" s="44" t="inlineStr">
        <is>
          <t>A definir (Roma)</t>
        </is>
      </c>
      <c r="F493" s="45" t="inlineStr">
        <is>
          <t>Pendente</t>
        </is>
      </c>
      <c r="G493" s="45" t="n">
        <v>217</v>
      </c>
      <c r="H493" s="43" t="n">
        <v>446</v>
      </c>
      <c r="I493" s="46">
        <f>IF(H493=0,DATE(2026,10,29),IF(H493=1,DATE(2026,10,30),DATE(2026,11,2)+7*INT((H493-2)/3)+CHOOSE(MOD(H493-2,3)+1,0,2,4)))</f>
        <v/>
      </c>
    </row>
    <row r="494" ht="15" customHeight="1" s="24">
      <c r="A494" s="43" t="n">
        <v>493</v>
      </c>
      <c r="B494" s="44" t="inlineStr">
        <is>
          <t>Crise e Império tardio (193–476 d.C.)</t>
        </is>
      </c>
      <c r="C494" s="45" t="inlineStr">
        <is>
          <t>218</t>
        </is>
      </c>
      <c r="D494" s="44" t="inlineStr">
        <is>
          <t>Heliogábalo e o culto do deus sol</t>
        </is>
      </c>
      <c r="E494" s="44" t="inlineStr">
        <is>
          <t>Palatino, Roma</t>
        </is>
      </c>
      <c r="F494" s="45" t="inlineStr">
        <is>
          <t>Pendente</t>
        </is>
      </c>
      <c r="G494" s="45" t="n">
        <v>218</v>
      </c>
      <c r="H494" s="43" t="n">
        <v>447</v>
      </c>
      <c r="I494" s="46">
        <f>IF(H494=0,DATE(2026,10,29),IF(H494=1,DATE(2026,10,30),DATE(2026,11,2)+7*INT((H494-2)/3)+CHOOSE(MOD(H494-2,3)+1,0,2,4)))</f>
        <v/>
      </c>
    </row>
    <row r="495" ht="15" customHeight="1" s="24">
      <c r="A495" s="43" t="n">
        <v>494</v>
      </c>
      <c r="B495" s="44" t="inlineStr">
        <is>
          <t>Crise e Império tardio (193–476 d.C.)</t>
        </is>
      </c>
      <c r="C495" s="45" t="inlineStr">
        <is>
          <t>222</t>
        </is>
      </c>
      <c r="D495" s="44" t="inlineStr">
        <is>
          <t>Alexandre Severo e Júlia Mameia</t>
        </is>
      </c>
      <c r="E495" s="44" t="inlineStr">
        <is>
          <t>A definir (Roma)</t>
        </is>
      </c>
      <c r="F495" s="45" t="inlineStr">
        <is>
          <t>Pendente</t>
        </is>
      </c>
      <c r="G495" s="45" t="n">
        <v>222</v>
      </c>
      <c r="H495" s="43" t="n">
        <v>448</v>
      </c>
      <c r="I495" s="46">
        <f>IF(H495=0,DATE(2026,10,29),IF(H495=1,DATE(2026,10,30),DATE(2026,11,2)+7*INT((H495-2)/3)+CHOOSE(MOD(H495-2,3)+1,0,2,4)))</f>
        <v/>
      </c>
    </row>
    <row r="496" ht="15" customHeight="1" s="24">
      <c r="A496" s="43" t="n">
        <v>495</v>
      </c>
      <c r="B496" s="44" t="inlineStr">
        <is>
          <t>Crise e Império tardio (193–476 d.C.)</t>
        </is>
      </c>
      <c r="C496" s="45" t="inlineStr">
        <is>
          <t>225</t>
        </is>
      </c>
      <c r="D496" s="44" t="inlineStr">
        <is>
          <t>Ulpiano, o jurista</t>
        </is>
      </c>
      <c r="E496" s="44" t="inlineStr">
        <is>
          <t>A definir (Roma)</t>
        </is>
      </c>
      <c r="F496" s="45" t="inlineStr">
        <is>
          <t>Pendente</t>
        </is>
      </c>
      <c r="G496" s="45" t="n">
        <v>225</v>
      </c>
      <c r="H496" s="43" t="n">
        <v>449</v>
      </c>
      <c r="I496" s="46">
        <f>IF(H496=0,DATE(2026,10,29),IF(H496=1,DATE(2026,10,30),DATE(2026,11,2)+7*INT((H496-2)/3)+CHOOSE(MOD(H496-2,3)+1,0,2,4)))</f>
        <v/>
      </c>
    </row>
    <row r="497" ht="15" customHeight="1" s="24">
      <c r="A497" s="43" t="n">
        <v>496</v>
      </c>
      <c r="B497" s="44" t="inlineStr">
        <is>
          <t>Crise e Império tardio (193–476 d.C.)</t>
        </is>
      </c>
      <c r="C497" s="45" t="inlineStr">
        <is>
          <t>230</t>
        </is>
      </c>
      <c r="D497" s="44" t="inlineStr">
        <is>
          <t>O Mitreu e os cultos de mistério</t>
        </is>
      </c>
      <c r="E497" s="44" t="inlineStr">
        <is>
          <t>Basílica de São Clemente, Roma</t>
        </is>
      </c>
      <c r="F497" s="45" t="inlineStr">
        <is>
          <t>Pendente</t>
        </is>
      </c>
      <c r="G497" s="45" t="n">
        <v>230</v>
      </c>
      <c r="H497" s="43" t="n">
        <v>450</v>
      </c>
      <c r="I497" s="46">
        <f>IF(H497=0,DATE(2026,10,29),IF(H497=1,DATE(2026,10,30),DATE(2026,11,2)+7*INT((H497-2)/3)+CHOOSE(MOD(H497-2,3)+1,0,2,4)))</f>
        <v/>
      </c>
    </row>
    <row r="498" ht="15" customHeight="1" s="24">
      <c r="A498" s="43" t="n">
        <v>497</v>
      </c>
      <c r="B498" s="44" t="inlineStr">
        <is>
          <t>Crise e Império tardio (193–476 d.C.)</t>
        </is>
      </c>
      <c r="C498" s="45" t="inlineStr">
        <is>
          <t>235</t>
        </is>
      </c>
      <c r="D498" s="44" t="inlineStr">
        <is>
          <t>A crise do século III começa</t>
        </is>
      </c>
      <c r="E498" s="44" t="inlineStr">
        <is>
          <t>A definir (Roma)</t>
        </is>
      </c>
      <c r="F498" s="45" t="inlineStr">
        <is>
          <t>Pendente</t>
        </is>
      </c>
      <c r="G498" s="45" t="n">
        <v>235</v>
      </c>
      <c r="H498" s="43" t="n">
        <v>451</v>
      </c>
      <c r="I498" s="46">
        <f>IF(H498=0,DATE(2026,10,29),IF(H498=1,DATE(2026,10,30),DATE(2026,11,2)+7*INT((H498-2)/3)+CHOOSE(MOD(H498-2,3)+1,0,2,4)))</f>
        <v/>
      </c>
    </row>
    <row r="499" ht="15" customHeight="1" s="24">
      <c r="A499" s="43" t="n">
        <v>498</v>
      </c>
      <c r="B499" s="44" t="inlineStr">
        <is>
          <t>Crise e Império tardio (193–476 d.C.)</t>
        </is>
      </c>
      <c r="C499" s="45" t="inlineStr">
        <is>
          <t>238</t>
        </is>
      </c>
      <c r="D499" s="44" t="inlineStr">
        <is>
          <t>O ano dos seis imperadores</t>
        </is>
      </c>
      <c r="E499" s="44" t="inlineStr">
        <is>
          <t>A definir (Roma)</t>
        </is>
      </c>
      <c r="F499" s="45" t="inlineStr">
        <is>
          <t>Pendente</t>
        </is>
      </c>
      <c r="G499" s="45" t="n">
        <v>238</v>
      </c>
      <c r="H499" s="43" t="n">
        <v>452</v>
      </c>
      <c r="I499" s="46">
        <f>IF(H499=0,DATE(2026,10,29),IF(H499=1,DATE(2026,10,30),DATE(2026,11,2)+7*INT((H499-2)/3)+CHOOSE(MOD(H499-2,3)+1,0,2,4)))</f>
        <v/>
      </c>
    </row>
    <row r="500" ht="15" customHeight="1" s="24">
      <c r="A500" s="43" t="n">
        <v>499</v>
      </c>
      <c r="B500" s="44" t="inlineStr">
        <is>
          <t>Crise e Império tardio (193–476 d.C.)</t>
        </is>
      </c>
      <c r="C500" s="45" t="inlineStr">
        <is>
          <t>244</t>
        </is>
      </c>
      <c r="D500" s="44" t="inlineStr">
        <is>
          <t>Filipe, o Árabe</t>
        </is>
      </c>
      <c r="E500" s="44" t="inlineStr">
        <is>
          <t>A definir (Roma)</t>
        </is>
      </c>
      <c r="F500" s="45" t="inlineStr">
        <is>
          <t>Pendente</t>
        </is>
      </c>
      <c r="G500" s="45" t="n">
        <v>244</v>
      </c>
      <c r="H500" s="43" t="n">
        <v>453</v>
      </c>
      <c r="I500" s="46">
        <f>IF(H500=0,DATE(2026,10,29),IF(H500=1,DATE(2026,10,30),DATE(2026,11,2)+7*INT((H500-2)/3)+CHOOSE(MOD(H500-2,3)+1,0,2,4)))</f>
        <v/>
      </c>
    </row>
    <row r="501" ht="15" customHeight="1" s="24">
      <c r="A501" s="43" t="n">
        <v>500</v>
      </c>
      <c r="B501" s="44" t="inlineStr">
        <is>
          <t>Crise e Império tardio (193–476 d.C.)</t>
        </is>
      </c>
      <c r="C501" s="45" t="inlineStr">
        <is>
          <t>248</t>
        </is>
      </c>
      <c r="D501" s="44" t="inlineStr">
        <is>
          <t>O milênio de Roma</t>
        </is>
      </c>
      <c r="E501" s="44" t="inlineStr">
        <is>
          <t>A definir (Roma)</t>
        </is>
      </c>
      <c r="F501" s="45" t="inlineStr">
        <is>
          <t>Pendente</t>
        </is>
      </c>
      <c r="G501" s="45" t="n">
        <v>248</v>
      </c>
      <c r="H501" s="43" t="n">
        <v>454</v>
      </c>
      <c r="I501" s="46">
        <f>IF(H501=0,DATE(2026,10,29),IF(H501=1,DATE(2026,10,30),DATE(2026,11,2)+7*INT((H501-2)/3)+CHOOSE(MOD(H501-2,3)+1,0,2,4)))</f>
        <v/>
      </c>
    </row>
    <row r="502" ht="15" customHeight="1" s="24">
      <c r="A502" s="43" t="n">
        <v>501</v>
      </c>
      <c r="B502" s="44" t="inlineStr">
        <is>
          <t>Crise e Império tardio (193–476 d.C.)</t>
        </is>
      </c>
      <c r="C502" s="45" t="inlineStr">
        <is>
          <t>249</t>
        </is>
      </c>
      <c r="D502" s="44" t="inlineStr">
        <is>
          <t>Décio e a perseguição aos cristãos</t>
        </is>
      </c>
      <c r="E502" s="44" t="inlineStr">
        <is>
          <t>A definir (Roma)</t>
        </is>
      </c>
      <c r="F502" s="45" t="inlineStr">
        <is>
          <t>Pendente</t>
        </is>
      </c>
      <c r="G502" s="45" t="n">
        <v>249</v>
      </c>
      <c r="H502" s="43" t="n">
        <v>455</v>
      </c>
      <c r="I502" s="46">
        <f>IF(H502=0,DATE(2026,10,29),IF(H502=1,DATE(2026,10,30),DATE(2026,11,2)+7*INT((H502-2)/3)+CHOOSE(MOD(H502-2,3)+1,0,2,4)))</f>
        <v/>
      </c>
    </row>
    <row r="503" ht="15" customHeight="1" s="24">
      <c r="A503" s="43" t="n">
        <v>502</v>
      </c>
      <c r="B503" s="44" t="inlineStr">
        <is>
          <t>Crise e Império tardio (193–476 d.C.)</t>
        </is>
      </c>
      <c r="C503" s="45" t="inlineStr">
        <is>
          <t>250</t>
        </is>
      </c>
      <c r="D503" s="44" t="inlineStr">
        <is>
          <t>Os primeiros papas e as catacumbas</t>
        </is>
      </c>
      <c r="E503" s="44" t="inlineStr">
        <is>
          <t>Catacumbas de São Calisto, Roma</t>
        </is>
      </c>
      <c r="F503" s="45" t="inlineStr">
        <is>
          <t>Pendente</t>
        </is>
      </c>
      <c r="G503" s="45" t="n">
        <v>250</v>
      </c>
      <c r="H503" s="43" t="n">
        <v>456</v>
      </c>
      <c r="I503" s="46">
        <f>IF(H503=0,DATE(2026,10,29),IF(H503=1,DATE(2026,10,30),DATE(2026,11,2)+7*INT((H503-2)/3)+CHOOSE(MOD(H503-2,3)+1,0,2,4)))</f>
        <v/>
      </c>
    </row>
    <row r="504" ht="15" customHeight="1" s="24">
      <c r="A504" s="43" t="n">
        <v>503</v>
      </c>
      <c r="B504" s="44" t="inlineStr">
        <is>
          <t>Crise e Império tardio (193–476 d.C.)</t>
        </is>
      </c>
      <c r="C504" s="45" t="inlineStr">
        <is>
          <t>251</t>
        </is>
      </c>
      <c r="D504" s="44" t="inlineStr">
        <is>
          <t>O papa Cornélio e o cisma de Novaciano</t>
        </is>
      </c>
      <c r="E504" s="44" t="inlineStr">
        <is>
          <t>A definir (Roma)</t>
        </is>
      </c>
      <c r="F504" s="45" t="inlineStr">
        <is>
          <t>Pendente</t>
        </is>
      </c>
      <c r="G504" s="45" t="n">
        <v>251</v>
      </c>
      <c r="H504" s="43" t="n">
        <v>457</v>
      </c>
      <c r="I504" s="46">
        <f>IF(H504=0,DATE(2026,10,29),IF(H504=1,DATE(2026,10,30),DATE(2026,11,2)+7*INT((H504-2)/3)+CHOOSE(MOD(H504-2,3)+1,0,2,4)))</f>
        <v/>
      </c>
    </row>
    <row r="505" ht="15" customHeight="1" s="24">
      <c r="A505" s="43" t="n">
        <v>504</v>
      </c>
      <c r="B505" s="44" t="inlineStr">
        <is>
          <t>Crise e Império tardio (193–476 d.C.)</t>
        </is>
      </c>
      <c r="C505" s="45" t="inlineStr">
        <is>
          <t>253</t>
        </is>
      </c>
      <c r="D505" s="44" t="inlineStr">
        <is>
          <t>Valeriano e Galieno</t>
        </is>
      </c>
      <c r="E505" s="44" t="inlineStr">
        <is>
          <t>A definir (Roma)</t>
        </is>
      </c>
      <c r="F505" s="45" t="inlineStr">
        <is>
          <t>Pendente</t>
        </is>
      </c>
      <c r="G505" s="45" t="n">
        <v>253</v>
      </c>
      <c r="H505" s="43" t="n">
        <v>458</v>
      </c>
      <c r="I505" s="46">
        <f>IF(H505=0,DATE(2026,10,29),IF(H505=1,DATE(2026,10,30),DATE(2026,11,2)+7*INT((H505-2)/3)+CHOOSE(MOD(H505-2,3)+1,0,2,4)))</f>
        <v/>
      </c>
    </row>
    <row r="506" ht="15" customHeight="1" s="24">
      <c r="A506" s="43" t="n">
        <v>505</v>
      </c>
      <c r="B506" s="44" t="inlineStr">
        <is>
          <t>Crise e Império tardio (193–476 d.C.)</t>
        </is>
      </c>
      <c r="C506" s="45" t="inlineStr">
        <is>
          <t>257</t>
        </is>
      </c>
      <c r="D506" s="44" t="inlineStr">
        <is>
          <t>A perseguição de Valeriano</t>
        </is>
      </c>
      <c r="E506" s="44" t="inlineStr">
        <is>
          <t>Catacumbas de São Calisto, Roma</t>
        </is>
      </c>
      <c r="F506" s="45" t="inlineStr">
        <is>
          <t>Pendente</t>
        </is>
      </c>
      <c r="G506" s="45" t="n">
        <v>257</v>
      </c>
      <c r="H506" s="43" t="n">
        <v>459</v>
      </c>
      <c r="I506" s="46">
        <f>IF(H506=0,DATE(2026,10,29),IF(H506=1,DATE(2026,10,30),DATE(2026,11,2)+7*INT((H506-2)/3)+CHOOSE(MOD(H506-2,3)+1,0,2,4)))</f>
        <v/>
      </c>
    </row>
    <row r="507" ht="23.85" customHeight="1" s="24">
      <c r="A507" s="43" t="n">
        <v>506</v>
      </c>
      <c r="B507" s="44" t="inlineStr">
        <is>
          <t>Crise e Império tardio (193–476 d.C.)</t>
        </is>
      </c>
      <c r="C507" s="45" t="inlineStr">
        <is>
          <t>258</t>
        </is>
      </c>
      <c r="D507" s="44" t="inlineStr">
        <is>
          <t>O martírio de São Lourenço</t>
        </is>
      </c>
      <c r="E507" s="44" t="inlineStr">
        <is>
          <t>Basílica de São Lourenço Fora dos Muros, Roma</t>
        </is>
      </c>
      <c r="F507" s="45" t="inlineStr">
        <is>
          <t>Pendente</t>
        </is>
      </c>
      <c r="G507" s="45" t="n">
        <v>258</v>
      </c>
      <c r="H507" s="43" t="n">
        <v>460</v>
      </c>
      <c r="I507" s="46">
        <f>IF(H507=0,DATE(2026,10,29),IF(H507=1,DATE(2026,10,30),DATE(2026,11,2)+7*INT((H507-2)/3)+CHOOSE(MOD(H507-2,3)+1,0,2,4)))</f>
        <v/>
      </c>
    </row>
    <row r="508" ht="15" customHeight="1" s="24">
      <c r="A508" s="43" t="n">
        <v>507</v>
      </c>
      <c r="B508" s="44" t="inlineStr">
        <is>
          <t>Crise e Império tardio (193–476 d.C.)</t>
        </is>
      </c>
      <c r="C508" s="45" t="inlineStr">
        <is>
          <t>260</t>
        </is>
      </c>
      <c r="D508" s="44" t="inlineStr">
        <is>
          <t>O Império dividido: Galias e Palmira</t>
        </is>
      </c>
      <c r="E508" s="44" t="inlineStr">
        <is>
          <t>A definir (Roma)</t>
        </is>
      </c>
      <c r="F508" s="45" t="inlineStr">
        <is>
          <t>Pendente</t>
        </is>
      </c>
      <c r="G508" s="45" t="n">
        <v>260</v>
      </c>
      <c r="H508" s="43" t="n">
        <v>461</v>
      </c>
      <c r="I508" s="46">
        <f>IF(H508=0,DATE(2026,10,29),IF(H508=1,DATE(2026,10,30),DATE(2026,11,2)+7*INT((H508-2)/3)+CHOOSE(MOD(H508-2,3)+1,0,2,4)))</f>
        <v/>
      </c>
    </row>
    <row r="509" ht="15" customHeight="1" s="24">
      <c r="A509" s="43" t="n">
        <v>508</v>
      </c>
      <c r="B509" s="44" t="inlineStr">
        <is>
          <t>Crise e Império tardio (193–476 d.C.)</t>
        </is>
      </c>
      <c r="C509" s="45" t="inlineStr">
        <is>
          <t>268</t>
        </is>
      </c>
      <c r="D509" s="44" t="inlineStr">
        <is>
          <t>A morte de Galieno</t>
        </is>
      </c>
      <c r="E509" s="44" t="inlineStr">
        <is>
          <t>A definir (Roma)</t>
        </is>
      </c>
      <c r="F509" s="45" t="inlineStr">
        <is>
          <t>Pendente</t>
        </is>
      </c>
      <c r="G509" s="45" t="n">
        <v>268</v>
      </c>
      <c r="H509" s="43" t="n">
        <v>462</v>
      </c>
      <c r="I509" s="46">
        <f>IF(H509=0,DATE(2026,10,29),IF(H509=1,DATE(2026,10,30),DATE(2026,11,2)+7*INT((H509-2)/3)+CHOOSE(MOD(H509-2,3)+1,0,2,4)))</f>
        <v/>
      </c>
    </row>
    <row r="510" ht="15" customHeight="1" s="24">
      <c r="A510" s="43" t="n">
        <v>509</v>
      </c>
      <c r="B510" s="44" t="inlineStr">
        <is>
          <t>Crise e Império tardio (193–476 d.C.)</t>
        </is>
      </c>
      <c r="C510" s="45" t="inlineStr">
        <is>
          <t>270</t>
        </is>
      </c>
      <c r="D510" s="44" t="inlineStr">
        <is>
          <t>Aureliano reunifica o Império</t>
        </is>
      </c>
      <c r="E510" s="44" t="inlineStr">
        <is>
          <t>A definir (Roma)</t>
        </is>
      </c>
      <c r="F510" s="45" t="inlineStr">
        <is>
          <t>Pendente</t>
        </is>
      </c>
      <c r="G510" s="45" t="n">
        <v>270</v>
      </c>
      <c r="H510" s="43" t="n">
        <v>463</v>
      </c>
      <c r="I510" s="46">
        <f>IF(H510=0,DATE(2026,10,29),IF(H510=1,DATE(2026,10,30),DATE(2026,11,2)+7*INT((H510-2)/3)+CHOOSE(MOD(H510-2,3)+1,0,2,4)))</f>
        <v/>
      </c>
    </row>
    <row r="511" ht="15" customHeight="1" s="24">
      <c r="A511" s="43" t="n">
        <v>510</v>
      </c>
      <c r="B511" s="44" t="inlineStr">
        <is>
          <t>Crise e Império tardio (193–476 d.C.)</t>
        </is>
      </c>
      <c r="C511" s="45" t="inlineStr">
        <is>
          <t>271</t>
        </is>
      </c>
      <c r="D511" s="44" t="inlineStr">
        <is>
          <t>As Muralhas Aurelianas</t>
        </is>
      </c>
      <c r="E511" s="44" t="inlineStr">
        <is>
          <t>Muralhas Aurelianas, Roma</t>
        </is>
      </c>
      <c r="F511" s="45" t="inlineStr">
        <is>
          <t>Pendente</t>
        </is>
      </c>
      <c r="G511" s="45" t="n">
        <v>271</v>
      </c>
      <c r="H511" s="43" t="n">
        <v>464</v>
      </c>
      <c r="I511" s="46">
        <f>IF(H511=0,DATE(2026,10,29),IF(H511=1,DATE(2026,10,30),DATE(2026,11,2)+7*INT((H511-2)/3)+CHOOSE(MOD(H511-2,3)+1,0,2,4)))</f>
        <v/>
      </c>
    </row>
    <row r="512" ht="15" customHeight="1" s="24">
      <c r="A512" s="43" t="n">
        <v>511</v>
      </c>
      <c r="B512" s="44" t="inlineStr">
        <is>
          <t>Crise e Império tardio (193–476 d.C.)</t>
        </is>
      </c>
      <c r="C512" s="45" t="inlineStr">
        <is>
          <t>272</t>
        </is>
      </c>
      <c r="D512" s="44" t="inlineStr">
        <is>
          <t>Zenóbia e Palmira</t>
        </is>
      </c>
      <c r="E512" s="44" t="inlineStr">
        <is>
          <t>A definir (Roma)</t>
        </is>
      </c>
      <c r="F512" s="45" t="inlineStr">
        <is>
          <t>Pendente</t>
        </is>
      </c>
      <c r="G512" s="45" t="n">
        <v>272</v>
      </c>
      <c r="H512" s="43" t="n">
        <v>465</v>
      </c>
      <c r="I512" s="46">
        <f>IF(H512=0,DATE(2026,10,29),IF(H512=1,DATE(2026,10,30),DATE(2026,11,2)+7*INT((H512-2)/3)+CHOOSE(MOD(H512-2,3)+1,0,2,4)))</f>
        <v/>
      </c>
    </row>
    <row r="513" ht="15" customHeight="1" s="24">
      <c r="A513" s="43" t="n">
        <v>512</v>
      </c>
      <c r="B513" s="44" t="inlineStr">
        <is>
          <t>Crise e Império tardio (193–476 d.C.)</t>
        </is>
      </c>
      <c r="C513" s="45" t="inlineStr">
        <is>
          <t>274</t>
        </is>
      </c>
      <c r="D513" s="44" t="inlineStr">
        <is>
          <t>O culto do Sol Invicto</t>
        </is>
      </c>
      <c r="E513" s="44" t="inlineStr">
        <is>
          <t>A definir (Roma)</t>
        </is>
      </c>
      <c r="F513" s="45" t="inlineStr">
        <is>
          <t>Pendente</t>
        </is>
      </c>
      <c r="G513" s="45" t="n">
        <v>274</v>
      </c>
      <c r="H513" s="43" t="n">
        <v>466</v>
      </c>
      <c r="I513" s="46">
        <f>IF(H513=0,DATE(2026,10,29),IF(H513=1,DATE(2026,10,30),DATE(2026,11,2)+7*INT((H513-2)/3)+CHOOSE(MOD(H513-2,3)+1,0,2,4)))</f>
        <v/>
      </c>
    </row>
    <row r="514" ht="15" customHeight="1" s="24">
      <c r="A514" s="43" t="n">
        <v>513</v>
      </c>
      <c r="B514" s="44" t="inlineStr">
        <is>
          <t>Crise e Império tardio (193–476 d.C.)</t>
        </is>
      </c>
      <c r="C514" s="45" t="inlineStr">
        <is>
          <t>275</t>
        </is>
      </c>
      <c r="D514" s="44" t="inlineStr">
        <is>
          <t>A morte de Aureliano</t>
        </is>
      </c>
      <c r="E514" s="44" t="inlineStr">
        <is>
          <t>A definir (Roma)</t>
        </is>
      </c>
      <c r="F514" s="45" t="inlineStr">
        <is>
          <t>Pendente</t>
        </is>
      </c>
      <c r="G514" s="45" t="n">
        <v>275</v>
      </c>
      <c r="H514" s="43" t="n">
        <v>467</v>
      </c>
      <c r="I514" s="46">
        <f>IF(H514=0,DATE(2026,10,29),IF(H514=1,DATE(2026,10,30),DATE(2026,11,2)+7*INT((H514-2)/3)+CHOOSE(MOD(H514-2,3)+1,0,2,4)))</f>
        <v/>
      </c>
    </row>
    <row r="515" ht="15" customHeight="1" s="24">
      <c r="A515" s="43" t="n">
        <v>514</v>
      </c>
      <c r="B515" s="44" t="inlineStr">
        <is>
          <t>Crise e Império tardio (193–476 d.C.)</t>
        </is>
      </c>
      <c r="C515" s="45" t="inlineStr">
        <is>
          <t>280</t>
        </is>
      </c>
      <c r="D515" s="44" t="inlineStr">
        <is>
          <t>O Império se recupera: Probo</t>
        </is>
      </c>
      <c r="E515" s="44" t="inlineStr">
        <is>
          <t>A definir (Roma)</t>
        </is>
      </c>
      <c r="F515" s="45" t="inlineStr">
        <is>
          <t>Pendente</t>
        </is>
      </c>
      <c r="G515" s="45" t="n">
        <v>280</v>
      </c>
      <c r="H515" s="43" t="n">
        <v>468</v>
      </c>
      <c r="I515" s="46">
        <f>IF(H515=0,DATE(2026,10,29),IF(H515=1,DATE(2026,10,30),DATE(2026,11,2)+7*INT((H515-2)/3)+CHOOSE(MOD(H515-2,3)+1,0,2,4)))</f>
        <v/>
      </c>
    </row>
    <row r="516" ht="15" customHeight="1" s="24">
      <c r="A516" s="43" t="n">
        <v>515</v>
      </c>
      <c r="B516" s="44" t="inlineStr">
        <is>
          <t>Crise e Império tardio (193–476 d.C.)</t>
        </is>
      </c>
      <c r="C516" s="45" t="inlineStr">
        <is>
          <t>284</t>
        </is>
      </c>
      <c r="D516" s="44" t="inlineStr">
        <is>
          <t>Diocleciano e a Tetrarquia</t>
        </is>
      </c>
      <c r="E516" s="44" t="inlineStr">
        <is>
          <t>A definir (Roma)</t>
        </is>
      </c>
      <c r="F516" s="45" t="inlineStr">
        <is>
          <t>Pendente</t>
        </is>
      </c>
      <c r="G516" s="45" t="n">
        <v>284</v>
      </c>
      <c r="H516" s="43" t="n">
        <v>469</v>
      </c>
      <c r="I516" s="46">
        <f>IF(H516=0,DATE(2026,10,29),IF(H516=1,DATE(2026,10,30),DATE(2026,11,2)+7*INT((H516-2)/3)+CHOOSE(MOD(H516-2,3)+1,0,2,4)))</f>
        <v/>
      </c>
    </row>
    <row r="517" ht="15" customHeight="1" s="24">
      <c r="A517" s="43" t="n">
        <v>516</v>
      </c>
      <c r="B517" s="44" t="inlineStr">
        <is>
          <t>Crise e Império tardio (193–476 d.C.)</t>
        </is>
      </c>
      <c r="C517" s="45" t="inlineStr">
        <is>
          <t>285</t>
        </is>
      </c>
      <c r="D517" s="44" t="inlineStr">
        <is>
          <t>Roma deixa de ser capital</t>
        </is>
      </c>
      <c r="E517" s="44" t="inlineStr">
        <is>
          <t>A definir (Roma)</t>
        </is>
      </c>
      <c r="F517" s="45" t="inlineStr">
        <is>
          <t>Pendente</t>
        </is>
      </c>
      <c r="G517" s="45" t="n">
        <v>285</v>
      </c>
      <c r="H517" s="43" t="n">
        <v>470</v>
      </c>
      <c r="I517" s="46">
        <f>IF(H517=0,DATE(2026,10,29),IF(H517=1,DATE(2026,10,30),DATE(2026,11,2)+7*INT((H517-2)/3)+CHOOSE(MOD(H517-2,3)+1,0,2,4)))</f>
        <v/>
      </c>
    </row>
    <row r="518" ht="15" customHeight="1" s="24">
      <c r="A518" s="43" t="n">
        <v>517</v>
      </c>
      <c r="B518" s="44" t="inlineStr">
        <is>
          <t>Crise e Império tardio (193–476 d.C.)</t>
        </is>
      </c>
      <c r="C518" s="45" t="inlineStr">
        <is>
          <t>293</t>
        </is>
      </c>
      <c r="D518" s="44" t="inlineStr">
        <is>
          <t>A Tetrarquia e a divisão do poder</t>
        </is>
      </c>
      <c r="E518" s="44" t="inlineStr">
        <is>
          <t>A definir (Roma)</t>
        </is>
      </c>
      <c r="F518" s="45" t="inlineStr">
        <is>
          <t>Pendente</t>
        </is>
      </c>
      <c r="G518" s="45" t="n">
        <v>293</v>
      </c>
      <c r="H518" s="43" t="n">
        <v>471</v>
      </c>
      <c r="I518" s="46">
        <f>IF(H518=0,DATE(2026,10,29),IF(H518=1,DATE(2026,10,30),DATE(2026,11,2)+7*INT((H518-2)/3)+CHOOSE(MOD(H518-2,3)+1,0,2,4)))</f>
        <v/>
      </c>
    </row>
    <row r="519" ht="15" customHeight="1" s="24">
      <c r="A519" s="43" t="n">
        <v>518</v>
      </c>
      <c r="B519" s="44" t="inlineStr">
        <is>
          <t>Crise e Império tardio (193–476 d.C.)</t>
        </is>
      </c>
      <c r="C519" s="45" t="inlineStr">
        <is>
          <t>297</t>
        </is>
      </c>
      <c r="D519" s="44" t="inlineStr">
        <is>
          <t>A reforma tributária de Diocleciano</t>
        </is>
      </c>
      <c r="E519" s="44" t="inlineStr">
        <is>
          <t>A definir (Roma)</t>
        </is>
      </c>
      <c r="F519" s="45" t="inlineStr">
        <is>
          <t>Pendente</t>
        </is>
      </c>
      <c r="G519" s="45" t="n">
        <v>297</v>
      </c>
      <c r="H519" s="43" t="n">
        <v>472</v>
      </c>
      <c r="I519" s="46">
        <f>IF(H519=0,DATE(2026,10,29),IF(H519=1,DATE(2026,10,30),DATE(2026,11,2)+7*INT((H519-2)/3)+CHOOSE(MOD(H519-2,3)+1,0,2,4)))</f>
        <v/>
      </c>
    </row>
    <row r="520" ht="15" customHeight="1" s="24">
      <c r="A520" s="43" t="n">
        <v>519</v>
      </c>
      <c r="B520" s="44" t="inlineStr">
        <is>
          <t>Crise e Império tardio (193–476 d.C.)</t>
        </is>
      </c>
      <c r="C520" s="45" t="inlineStr">
        <is>
          <t>298</t>
        </is>
      </c>
      <c r="D520" s="44" t="inlineStr">
        <is>
          <t>As Termas de Diocleciano</t>
        </is>
      </c>
      <c r="E520" s="44" t="inlineStr">
        <is>
          <t>Termas de Diocleciano, Roma</t>
        </is>
      </c>
      <c r="F520" s="45" t="inlineStr">
        <is>
          <t>Pendente</t>
        </is>
      </c>
      <c r="G520" s="45" t="n">
        <v>298</v>
      </c>
      <c r="H520" s="43" t="n">
        <v>473</v>
      </c>
      <c r="I520" s="46">
        <f>IF(H520=0,DATE(2026,10,29),IF(H520=1,DATE(2026,10,30),DATE(2026,11,2)+7*INT((H520-2)/3)+CHOOSE(MOD(H520-2,3)+1,0,2,4)))</f>
        <v/>
      </c>
    </row>
    <row r="521" ht="15" customHeight="1" s="24">
      <c r="A521" s="43" t="n">
        <v>520</v>
      </c>
      <c r="B521" s="44" t="inlineStr">
        <is>
          <t>Crise e Império tardio (193–476 d.C.)</t>
        </is>
      </c>
      <c r="C521" s="45" t="inlineStr">
        <is>
          <t>300</t>
        </is>
      </c>
      <c r="D521" s="44" t="inlineStr">
        <is>
          <t>O Édito dos Preços</t>
        </is>
      </c>
      <c r="E521" s="44" t="inlineStr">
        <is>
          <t>A definir (Roma)</t>
        </is>
      </c>
      <c r="F521" s="45" t="inlineStr">
        <is>
          <t>Pendente</t>
        </is>
      </c>
      <c r="G521" s="45" t="n">
        <v>300</v>
      </c>
      <c r="H521" s="43" t="n">
        <v>474</v>
      </c>
      <c r="I521" s="46">
        <f>IF(H521=0,DATE(2026,10,29),IF(H521=1,DATE(2026,10,30),DATE(2026,11,2)+7*INT((H521-2)/3)+CHOOSE(MOD(H521-2,3)+1,0,2,4)))</f>
        <v/>
      </c>
    </row>
    <row r="522" ht="15" customHeight="1" s="24">
      <c r="A522" s="43" t="n">
        <v>521</v>
      </c>
      <c r="B522" s="44" t="inlineStr">
        <is>
          <t>Crise e Império tardio (193–476 d.C.)</t>
        </is>
      </c>
      <c r="C522" s="45" t="inlineStr">
        <is>
          <t>303</t>
        </is>
      </c>
      <c r="D522" s="44" t="inlineStr">
        <is>
          <t>A Grande Perseguição</t>
        </is>
      </c>
      <c r="E522" s="44" t="inlineStr">
        <is>
          <t>A definir (Roma)</t>
        </is>
      </c>
      <c r="F522" s="45" t="inlineStr">
        <is>
          <t>Pendente</t>
        </is>
      </c>
      <c r="G522" s="45" t="n">
        <v>303</v>
      </c>
      <c r="H522" s="43" t="n">
        <v>475</v>
      </c>
      <c r="I522" s="46">
        <f>IF(H522=0,DATE(2026,10,29),IF(H522=1,DATE(2026,10,30),DATE(2026,11,2)+7*INT((H522-2)/3)+CHOOSE(MOD(H522-2,3)+1,0,2,4)))</f>
        <v/>
      </c>
    </row>
    <row r="523" ht="15" customHeight="1" s="24">
      <c r="A523" s="43" t="n">
        <v>522</v>
      </c>
      <c r="B523" s="44" t="inlineStr">
        <is>
          <t>Crise e Império tardio (193–476 d.C.)</t>
        </is>
      </c>
      <c r="C523" s="45" t="inlineStr">
        <is>
          <t>305</t>
        </is>
      </c>
      <c r="D523" s="44" t="inlineStr">
        <is>
          <t>A abdicação de Diocleciano</t>
        </is>
      </c>
      <c r="E523" s="44" t="inlineStr">
        <is>
          <t>A definir (Roma)</t>
        </is>
      </c>
      <c r="F523" s="45" t="inlineStr">
        <is>
          <t>Pendente</t>
        </is>
      </c>
      <c r="G523" s="45" t="n">
        <v>305</v>
      </c>
      <c r="H523" s="43" t="n">
        <v>476</v>
      </c>
      <c r="I523" s="46">
        <f>IF(H523=0,DATE(2026,10,29),IF(H523=1,DATE(2026,10,30),DATE(2026,11,2)+7*INT((H523-2)/3)+CHOOSE(MOD(H523-2,3)+1,0,2,4)))</f>
        <v/>
      </c>
    </row>
    <row r="524" ht="15" customHeight="1" s="24">
      <c r="A524" s="43" t="n">
        <v>523</v>
      </c>
      <c r="B524" s="44" t="inlineStr">
        <is>
          <t>Crise e Império tardio (193–476 d.C.)</t>
        </is>
      </c>
      <c r="C524" s="45" t="inlineStr">
        <is>
          <t>306</t>
        </is>
      </c>
      <c r="D524" s="44" t="inlineStr">
        <is>
          <t>Constantino e Maxêncio</t>
        </is>
      </c>
      <c r="E524" s="44" t="inlineStr">
        <is>
          <t>A definir (Roma)</t>
        </is>
      </c>
      <c r="F524" s="45" t="inlineStr">
        <is>
          <t>Pendente</t>
        </is>
      </c>
      <c r="G524" s="45" t="n">
        <v>306</v>
      </c>
      <c r="H524" s="43" t="n">
        <v>477</v>
      </c>
      <c r="I524" s="46">
        <f>IF(H524=0,DATE(2026,10,29),IF(H524=1,DATE(2026,10,30),DATE(2026,11,2)+7*INT((H524-2)/3)+CHOOSE(MOD(H524-2,3)+1,0,2,4)))</f>
        <v/>
      </c>
    </row>
    <row r="525" ht="15" customHeight="1" s="24">
      <c r="A525" s="43" t="n">
        <v>524</v>
      </c>
      <c r="B525" s="44" t="inlineStr">
        <is>
          <t>Crise e Império tardio (193–476 d.C.)</t>
        </is>
      </c>
      <c r="C525" s="45" t="inlineStr">
        <is>
          <t>308</t>
        </is>
      </c>
      <c r="D525" s="44" t="inlineStr">
        <is>
          <t>A Basílica de Maxêncio</t>
        </is>
      </c>
      <c r="E525" s="44" t="inlineStr">
        <is>
          <t>Basílica de Maxêncio, Fórum Romano, Roma</t>
        </is>
      </c>
      <c r="F525" s="45" t="inlineStr">
        <is>
          <t>Pendente</t>
        </is>
      </c>
      <c r="G525" s="45" t="n">
        <v>308</v>
      </c>
      <c r="H525" s="43" t="n">
        <v>478</v>
      </c>
      <c r="I525" s="46">
        <f>IF(H525=0,DATE(2026,10,29),IF(H525=1,DATE(2026,10,30),DATE(2026,11,2)+7*INT((H525-2)/3)+CHOOSE(MOD(H525-2,3)+1,0,2,4)))</f>
        <v/>
      </c>
    </row>
    <row r="526" ht="15" customHeight="1" s="24">
      <c r="A526" s="43" t="n">
        <v>525</v>
      </c>
      <c r="B526" s="44" t="inlineStr">
        <is>
          <t>Crise e Império tardio (193–476 d.C.)</t>
        </is>
      </c>
      <c r="C526" s="45" t="inlineStr">
        <is>
          <t>310</t>
        </is>
      </c>
      <c r="D526" s="44" t="inlineStr">
        <is>
          <t>O Circo de Maxêncio</t>
        </is>
      </c>
      <c r="E526" s="44" t="inlineStr">
        <is>
          <t>Via Ápia Antiga, Roma</t>
        </is>
      </c>
      <c r="F526" s="45" t="inlineStr">
        <is>
          <t>Pendente</t>
        </is>
      </c>
      <c r="G526" s="45" t="n">
        <v>310</v>
      </c>
      <c r="H526" s="43" t="n">
        <v>479</v>
      </c>
      <c r="I526" s="46">
        <f>IF(H526=0,DATE(2026,10,29),IF(H526=1,DATE(2026,10,30),DATE(2026,11,2)+7*INT((H526-2)/3)+CHOOSE(MOD(H526-2,3)+1,0,2,4)))</f>
        <v/>
      </c>
    </row>
    <row r="527" ht="15" customHeight="1" s="24">
      <c r="A527" s="43" t="n">
        <v>526</v>
      </c>
      <c r="B527" s="44" t="inlineStr">
        <is>
          <t>Crise e Império tardio (193–476 d.C.)</t>
        </is>
      </c>
      <c r="C527" s="45" t="inlineStr">
        <is>
          <t>312</t>
        </is>
      </c>
      <c r="D527" s="44" t="inlineStr">
        <is>
          <t>A batalha da Ponte Mílvia</t>
        </is>
      </c>
      <c r="E527" s="44" t="inlineStr">
        <is>
          <t>Ponte Mílvio, Roma</t>
        </is>
      </c>
      <c r="F527" s="45" t="inlineStr">
        <is>
          <t>Pendente</t>
        </is>
      </c>
      <c r="G527" s="45" t="n">
        <v>312</v>
      </c>
      <c r="H527" s="43" t="n">
        <v>480</v>
      </c>
      <c r="I527" s="46">
        <f>IF(H527=0,DATE(2026,10,29),IF(H527=1,DATE(2026,10,30),DATE(2026,11,2)+7*INT((H527-2)/3)+CHOOSE(MOD(H527-2,3)+1,0,2,4)))</f>
        <v/>
      </c>
    </row>
    <row r="528" ht="15" customHeight="1" s="24">
      <c r="A528" s="43" t="n">
        <v>527</v>
      </c>
      <c r="B528" s="44" t="inlineStr">
        <is>
          <t>Crise e Império tardio (193–476 d.C.)</t>
        </is>
      </c>
      <c r="C528" s="45" t="inlineStr">
        <is>
          <t>312</t>
        </is>
      </c>
      <c r="D528" s="44" t="inlineStr">
        <is>
          <t>A visão de Constantino e o Chi-Rho</t>
        </is>
      </c>
      <c r="E528" s="44" t="inlineStr">
        <is>
          <t>A definir (Roma)</t>
        </is>
      </c>
      <c r="F528" s="45" t="inlineStr">
        <is>
          <t>Pendente</t>
        </is>
      </c>
      <c r="G528" s="45" t="n">
        <v>312</v>
      </c>
      <c r="H528" s="43" t="n">
        <v>481</v>
      </c>
      <c r="I528" s="46">
        <f>IF(H528=0,DATE(2026,10,29),IF(H528=1,DATE(2026,10,30),DATE(2026,11,2)+7*INT((H528-2)/3)+CHOOSE(MOD(H528-2,3)+1,0,2,4)))</f>
        <v/>
      </c>
    </row>
    <row r="529" ht="15" customHeight="1" s="24">
      <c r="A529" s="43" t="n">
        <v>528</v>
      </c>
      <c r="B529" s="44" t="inlineStr">
        <is>
          <t>Crise e Império tardio (193–476 d.C.)</t>
        </is>
      </c>
      <c r="C529" s="45" t="inlineStr">
        <is>
          <t>313</t>
        </is>
      </c>
      <c r="D529" s="44" t="inlineStr">
        <is>
          <t>O Édito de Milão</t>
        </is>
      </c>
      <c r="E529" s="44" t="inlineStr">
        <is>
          <t>A definir (Roma)</t>
        </is>
      </c>
      <c r="F529" s="45" t="inlineStr">
        <is>
          <t>Pendente</t>
        </is>
      </c>
      <c r="G529" s="45" t="n">
        <v>313</v>
      </c>
      <c r="H529" s="43" t="n">
        <v>482</v>
      </c>
      <c r="I529" s="46">
        <f>IF(H529=0,DATE(2026,10,29),IF(H529=1,DATE(2026,10,30),DATE(2026,11,2)+7*INT((H529-2)/3)+CHOOSE(MOD(H529-2,3)+1,0,2,4)))</f>
        <v/>
      </c>
    </row>
    <row r="530" ht="15" customHeight="1" s="24">
      <c r="A530" s="43" t="n">
        <v>529</v>
      </c>
      <c r="B530" s="44" t="inlineStr">
        <is>
          <t>Crise e Império tardio (193–476 d.C.)</t>
        </is>
      </c>
      <c r="C530" s="45" t="inlineStr">
        <is>
          <t>313</t>
        </is>
      </c>
      <c r="D530" s="44" t="inlineStr">
        <is>
          <t>Constantino e o fim da perseguição</t>
        </is>
      </c>
      <c r="E530" s="44" t="inlineStr">
        <is>
          <t>A definir (Roma)</t>
        </is>
      </c>
      <c r="F530" s="45" t="inlineStr">
        <is>
          <t>Pendente</t>
        </is>
      </c>
      <c r="G530" s="45" t="n">
        <v>313</v>
      </c>
      <c r="H530" s="43" t="n">
        <v>483</v>
      </c>
      <c r="I530" s="46">
        <f>IF(H530=0,DATE(2026,10,29),IF(H530=1,DATE(2026,10,30),DATE(2026,11,2)+7*INT((H530-2)/3)+CHOOSE(MOD(H530-2,3)+1,0,2,4)))</f>
        <v/>
      </c>
    </row>
    <row r="531" ht="15" customHeight="1" s="24">
      <c r="A531" s="43" t="n">
        <v>530</v>
      </c>
      <c r="B531" s="44" t="inlineStr">
        <is>
          <t>Crise e Império tardio (193–476 d.C.)</t>
        </is>
      </c>
      <c r="C531" s="45" t="inlineStr">
        <is>
          <t>315</t>
        </is>
      </c>
      <c r="D531" s="44" t="inlineStr">
        <is>
          <t>O Arco de Constantino</t>
        </is>
      </c>
      <c r="E531" s="44" t="inlineStr">
        <is>
          <t>Arco de Constantino, Roma</t>
        </is>
      </c>
      <c r="F531" s="45" t="inlineStr">
        <is>
          <t>Pendente</t>
        </is>
      </c>
      <c r="G531" s="45" t="n">
        <v>315</v>
      </c>
      <c r="H531" s="43" t="n">
        <v>484</v>
      </c>
      <c r="I531" s="46">
        <f>IF(H531=0,DATE(2026,10,29),IF(H531=1,DATE(2026,10,30),DATE(2026,11,2)+7*INT((H531-2)/3)+CHOOSE(MOD(H531-2,3)+1,0,2,4)))</f>
        <v/>
      </c>
    </row>
    <row r="532" ht="15" customHeight="1" s="24">
      <c r="A532" s="43" t="n">
        <v>531</v>
      </c>
      <c r="B532" s="44" t="inlineStr">
        <is>
          <t>Crise e Império tardio (193–476 d.C.)</t>
        </is>
      </c>
      <c r="C532" s="45" t="inlineStr">
        <is>
          <t>315</t>
        </is>
      </c>
      <c r="D532" s="44" t="inlineStr">
        <is>
          <t>A Basílica de São João de Latrão</t>
        </is>
      </c>
      <c r="E532" s="44" t="inlineStr">
        <is>
          <t>São João de Latrão, Roma</t>
        </is>
      </c>
      <c r="F532" s="45" t="inlineStr">
        <is>
          <t>Pendente</t>
        </is>
      </c>
      <c r="G532" s="45" t="n">
        <v>315</v>
      </c>
      <c r="H532" s="43" t="n">
        <v>485</v>
      </c>
      <c r="I532" s="46">
        <f>IF(H532=0,DATE(2026,10,29),IF(H532=1,DATE(2026,10,30),DATE(2026,11,2)+7*INT((H532-2)/3)+CHOOSE(MOD(H532-2,3)+1,0,2,4)))</f>
        <v/>
      </c>
    </row>
    <row r="533" ht="15" customHeight="1" s="24">
      <c r="A533" s="43" t="n">
        <v>532</v>
      </c>
      <c r="B533" s="44" t="inlineStr">
        <is>
          <t>Crise e Império tardio (193–476 d.C.)</t>
        </is>
      </c>
      <c r="C533" s="45" t="inlineStr">
        <is>
          <t>320</t>
        </is>
      </c>
      <c r="D533" s="44" t="inlineStr">
        <is>
          <t>A Basílica de São Pedro de Constantino</t>
        </is>
      </c>
      <c r="E533" s="44" t="inlineStr">
        <is>
          <t>Basílica de São Pedro, Roma</t>
        </is>
      </c>
      <c r="F533" s="45" t="inlineStr">
        <is>
          <t>Pendente</t>
        </is>
      </c>
      <c r="G533" s="45" t="n">
        <v>320</v>
      </c>
      <c r="H533" s="43" t="n">
        <v>486</v>
      </c>
      <c r="I533" s="46">
        <f>IF(H533=0,DATE(2026,10,29),IF(H533=1,DATE(2026,10,30),DATE(2026,11,2)+7*INT((H533-2)/3)+CHOOSE(MOD(H533-2,3)+1,0,2,4)))</f>
        <v/>
      </c>
    </row>
    <row r="534" ht="15" customHeight="1" s="24">
      <c r="A534" s="43" t="n">
        <v>533</v>
      </c>
      <c r="B534" s="44" t="inlineStr">
        <is>
          <t>Crise e Império tardio (193–476 d.C.)</t>
        </is>
      </c>
      <c r="C534" s="45" t="inlineStr">
        <is>
          <t>324</t>
        </is>
      </c>
      <c r="D534" s="44" t="inlineStr">
        <is>
          <t>A Basílica de Santa Cruz em Jerusalém</t>
        </is>
      </c>
      <c r="E534" s="44" t="inlineStr">
        <is>
          <t>Santa Cruz em Jerusalém, Roma</t>
        </is>
      </c>
      <c r="F534" s="45" t="inlineStr">
        <is>
          <t>Pendente</t>
        </is>
      </c>
      <c r="G534" s="45" t="n">
        <v>324</v>
      </c>
      <c r="H534" s="43" t="n">
        <v>487</v>
      </c>
      <c r="I534" s="46">
        <f>IF(H534=0,DATE(2026,10,29),IF(H534=1,DATE(2026,10,30),DATE(2026,11,2)+7*INT((H534-2)/3)+CHOOSE(MOD(H534-2,3)+1,0,2,4)))</f>
        <v/>
      </c>
    </row>
    <row r="535" ht="15" customHeight="1" s="24">
      <c r="A535" s="43" t="n">
        <v>534</v>
      </c>
      <c r="B535" s="44" t="inlineStr">
        <is>
          <t>Crise e Império tardio (193–476 d.C.)</t>
        </is>
      </c>
      <c r="C535" s="45" t="inlineStr">
        <is>
          <t>325</t>
        </is>
      </c>
      <c r="D535" s="44" t="inlineStr">
        <is>
          <t>O Concílio de Niceia</t>
        </is>
      </c>
      <c r="E535" s="44" t="inlineStr">
        <is>
          <t>A definir (Roma)</t>
        </is>
      </c>
      <c r="F535" s="45" t="inlineStr">
        <is>
          <t>Pendente</t>
        </is>
      </c>
      <c r="G535" s="45" t="n">
        <v>325</v>
      </c>
      <c r="H535" s="43" t="n">
        <v>488</v>
      </c>
      <c r="I535" s="46">
        <f>IF(H535=0,DATE(2026,10,29),IF(H535=1,DATE(2026,10,30),DATE(2026,11,2)+7*INT((H535-2)/3)+CHOOSE(MOD(H535-2,3)+1,0,2,4)))</f>
        <v/>
      </c>
    </row>
    <row r="536" ht="15" customHeight="1" s="24">
      <c r="A536" s="43" t="n">
        <v>535</v>
      </c>
      <c r="B536" s="44" t="inlineStr">
        <is>
          <t>Crise e Império tardio (193–476 d.C.)</t>
        </is>
      </c>
      <c r="C536" s="45" t="inlineStr">
        <is>
          <t>326</t>
        </is>
      </c>
      <c r="D536" s="44" t="inlineStr">
        <is>
          <t>Santa Helena e a Verdadeira Cruz</t>
        </is>
      </c>
      <c r="E536" s="44" t="inlineStr">
        <is>
          <t>A definir (Roma)</t>
        </is>
      </c>
      <c r="F536" s="45" t="inlineStr">
        <is>
          <t>Pendente</t>
        </is>
      </c>
      <c r="G536" s="45" t="n">
        <v>326</v>
      </c>
      <c r="H536" s="43" t="n">
        <v>489</v>
      </c>
      <c r="I536" s="46">
        <f>IF(H536=0,DATE(2026,10,29),IF(H536=1,DATE(2026,10,30),DATE(2026,11,2)+7*INT((H536-2)/3)+CHOOSE(MOD(H536-2,3)+1,0,2,4)))</f>
        <v/>
      </c>
    </row>
    <row r="537" ht="15" customHeight="1" s="24">
      <c r="A537" s="43" t="n">
        <v>536</v>
      </c>
      <c r="B537" s="44" t="inlineStr">
        <is>
          <t>Crise e Império tardio (193–476 d.C.)</t>
        </is>
      </c>
      <c r="C537" s="45" t="inlineStr">
        <is>
          <t>330</t>
        </is>
      </c>
      <c r="D537" s="44" t="inlineStr">
        <is>
          <t>Constantinopla: a nova Roma</t>
        </is>
      </c>
      <c r="E537" s="44" t="inlineStr">
        <is>
          <t>A definir (Roma)</t>
        </is>
      </c>
      <c r="F537" s="45" t="inlineStr">
        <is>
          <t>Pendente</t>
        </is>
      </c>
      <c r="G537" s="45" t="n">
        <v>330</v>
      </c>
      <c r="H537" s="43" t="n">
        <v>490</v>
      </c>
      <c r="I537" s="46">
        <f>IF(H537=0,DATE(2026,10,29),IF(H537=1,DATE(2026,10,30),DATE(2026,11,2)+7*INT((H537-2)/3)+CHOOSE(MOD(H537-2,3)+1,0,2,4)))</f>
        <v/>
      </c>
    </row>
    <row r="538" ht="15" customHeight="1" s="24">
      <c r="A538" s="43" t="n">
        <v>537</v>
      </c>
      <c r="B538" s="44" t="inlineStr">
        <is>
          <t>Crise e Império tardio (193–476 d.C.)</t>
        </is>
      </c>
      <c r="C538" s="45" t="inlineStr">
        <is>
          <t>337</t>
        </is>
      </c>
      <c r="D538" s="44" t="inlineStr">
        <is>
          <t>A morte de Constantino</t>
        </is>
      </c>
      <c r="E538" s="44" t="inlineStr">
        <is>
          <t>A definir (Roma)</t>
        </is>
      </c>
      <c r="F538" s="45" t="inlineStr">
        <is>
          <t>Pendente</t>
        </is>
      </c>
      <c r="G538" s="45" t="n">
        <v>337</v>
      </c>
      <c r="H538" s="43" t="n">
        <v>491</v>
      </c>
      <c r="I538" s="46">
        <f>IF(H538=0,DATE(2026,10,29),IF(H538=1,DATE(2026,10,30),DATE(2026,11,2)+7*INT((H538-2)/3)+CHOOSE(MOD(H538-2,3)+1,0,2,4)))</f>
        <v/>
      </c>
    </row>
    <row r="539" ht="15" customHeight="1" s="24">
      <c r="A539" s="43" t="n">
        <v>538</v>
      </c>
      <c r="B539" s="44" t="inlineStr">
        <is>
          <t>Crise e Império tardio (193–476 d.C.)</t>
        </is>
      </c>
      <c r="C539" s="45" t="inlineStr">
        <is>
          <t>340</t>
        </is>
      </c>
      <c r="D539" s="44" t="inlineStr">
        <is>
          <t>A Basílica de Santa Constança</t>
        </is>
      </c>
      <c r="E539" s="44" t="inlineStr">
        <is>
          <t>Santa Constança, Roma</t>
        </is>
      </c>
      <c r="F539" s="45" t="inlineStr">
        <is>
          <t>Pendente</t>
        </is>
      </c>
      <c r="G539" s="45" t="n">
        <v>340</v>
      </c>
      <c r="H539" s="43" t="n">
        <v>492</v>
      </c>
      <c r="I539" s="46">
        <f>IF(H539=0,DATE(2026,10,29),IF(H539=1,DATE(2026,10,30),DATE(2026,11,2)+7*INT((H539-2)/3)+CHOOSE(MOD(H539-2,3)+1,0,2,4)))</f>
        <v/>
      </c>
    </row>
    <row r="540" ht="15" customHeight="1" s="24">
      <c r="A540" s="43" t="n">
        <v>539</v>
      </c>
      <c r="B540" s="44" t="inlineStr">
        <is>
          <t>Crise e Império tardio (193–476 d.C.)</t>
        </is>
      </c>
      <c r="C540" s="45" t="inlineStr">
        <is>
          <t>350</t>
        </is>
      </c>
      <c r="D540" s="44" t="inlineStr">
        <is>
          <t>A Basílica de Santa Inês</t>
        </is>
      </c>
      <c r="E540" s="44" t="inlineStr">
        <is>
          <t>Santa Inês, Roma</t>
        </is>
      </c>
      <c r="F540" s="45" t="inlineStr">
        <is>
          <t>Pendente</t>
        </is>
      </c>
      <c r="G540" s="45" t="n">
        <v>350</v>
      </c>
      <c r="H540" s="43" t="n">
        <v>493</v>
      </c>
      <c r="I540" s="46">
        <f>IF(H540=0,DATE(2026,10,29),IF(H540=1,DATE(2026,10,30),DATE(2026,11,2)+7*INT((H540-2)/3)+CHOOSE(MOD(H540-2,3)+1,0,2,4)))</f>
        <v/>
      </c>
    </row>
    <row r="541" ht="15" customHeight="1" s="24">
      <c r="A541" s="43" t="n">
        <v>540</v>
      </c>
      <c r="B541" s="44" t="inlineStr">
        <is>
          <t>Crise e Império tardio (193–476 d.C.)</t>
        </is>
      </c>
      <c r="C541" s="45" t="inlineStr">
        <is>
          <t>357</t>
        </is>
      </c>
      <c r="D541" s="44" t="inlineStr">
        <is>
          <t>Constâncio II visita Roma</t>
        </is>
      </c>
      <c r="E541" s="44" t="inlineStr">
        <is>
          <t>A definir (Roma)</t>
        </is>
      </c>
      <c r="F541" s="45" t="inlineStr">
        <is>
          <t>Pendente</t>
        </is>
      </c>
      <c r="G541" s="45" t="n">
        <v>357</v>
      </c>
      <c r="H541" s="43" t="n">
        <v>494</v>
      </c>
      <c r="I541" s="46">
        <f>IF(H541=0,DATE(2026,10,29),IF(H541=1,DATE(2026,10,30),DATE(2026,11,2)+7*INT((H541-2)/3)+CHOOSE(MOD(H541-2,3)+1,0,2,4)))</f>
        <v/>
      </c>
    </row>
    <row r="542" ht="15" customHeight="1" s="24">
      <c r="A542" s="43" t="n">
        <v>541</v>
      </c>
      <c r="B542" s="44" t="inlineStr">
        <is>
          <t>Crise e Império tardio (193–476 d.C.)</t>
        </is>
      </c>
      <c r="C542" s="45" t="inlineStr">
        <is>
          <t>361</t>
        </is>
      </c>
      <c r="D542" s="44" t="inlineStr">
        <is>
          <t>Juliano, o Apóstata</t>
        </is>
      </c>
      <c r="E542" s="44" t="inlineStr">
        <is>
          <t>A definir (Roma)</t>
        </is>
      </c>
      <c r="F542" s="45" t="inlineStr">
        <is>
          <t>Pendente</t>
        </is>
      </c>
      <c r="G542" s="45" t="n">
        <v>361</v>
      </c>
      <c r="H542" s="43" t="n">
        <v>495</v>
      </c>
      <c r="I542" s="46">
        <f>IF(H542=0,DATE(2026,10,29),IF(H542=1,DATE(2026,10,30),DATE(2026,11,2)+7*INT((H542-2)/3)+CHOOSE(MOD(H542-2,3)+1,0,2,4)))</f>
        <v/>
      </c>
    </row>
    <row r="543" ht="15" customHeight="1" s="24">
      <c r="A543" s="43" t="n">
        <v>542</v>
      </c>
      <c r="B543" s="44" t="inlineStr">
        <is>
          <t>Crise e Império tardio (193–476 d.C.)</t>
        </is>
      </c>
      <c r="C543" s="45" t="inlineStr">
        <is>
          <t>366</t>
        </is>
      </c>
      <c r="D543" s="44" t="inlineStr">
        <is>
          <t>O papa Dâmaso e as catacumbas</t>
        </is>
      </c>
      <c r="E543" s="44" t="inlineStr">
        <is>
          <t>A definir (Roma)</t>
        </is>
      </c>
      <c r="F543" s="45" t="inlineStr">
        <is>
          <t>Pendente</t>
        </is>
      </c>
      <c r="G543" s="45" t="n">
        <v>366</v>
      </c>
      <c r="H543" s="43" t="n">
        <v>496</v>
      </c>
      <c r="I543" s="46">
        <f>IF(H543=0,DATE(2026,10,29),IF(H543=1,DATE(2026,10,30),DATE(2026,11,2)+7*INT((H543-2)/3)+CHOOSE(MOD(H543-2,3)+1,0,2,4)))</f>
        <v/>
      </c>
    </row>
    <row r="544" ht="15" customHeight="1" s="24">
      <c r="A544" s="43" t="n">
        <v>543</v>
      </c>
      <c r="B544" s="44" t="inlineStr">
        <is>
          <t>Crise e Império tardio (193–476 d.C.)</t>
        </is>
      </c>
      <c r="C544" s="45" t="inlineStr">
        <is>
          <t>370</t>
        </is>
      </c>
      <c r="D544" s="44" t="inlineStr">
        <is>
          <t>Símaco e o Altar da Vitória</t>
        </is>
      </c>
      <c r="E544" s="44" t="inlineStr">
        <is>
          <t>Cúria Júlia, Fórum Romano, Roma</t>
        </is>
      </c>
      <c r="F544" s="45" t="inlineStr">
        <is>
          <t>Pendente</t>
        </is>
      </c>
      <c r="G544" s="45" t="n">
        <v>370</v>
      </c>
      <c r="H544" s="43" t="n">
        <v>497</v>
      </c>
      <c r="I544" s="46">
        <f>IF(H544=0,DATE(2026,10,29),IF(H544=1,DATE(2026,10,30),DATE(2026,11,2)+7*INT((H544-2)/3)+CHOOSE(MOD(H544-2,3)+1,0,2,4)))</f>
        <v/>
      </c>
    </row>
    <row r="545" ht="15" customHeight="1" s="24">
      <c r="A545" s="43" t="n">
        <v>544</v>
      </c>
      <c r="B545" s="44" t="inlineStr">
        <is>
          <t>Crise e Império tardio (193–476 d.C.)</t>
        </is>
      </c>
      <c r="C545" s="45" t="inlineStr">
        <is>
          <t>374</t>
        </is>
      </c>
      <c r="D545" s="44" t="inlineStr">
        <is>
          <t>Santo Ambrósio, bispo de Milão</t>
        </is>
      </c>
      <c r="E545" s="44" t="inlineStr">
        <is>
          <t>Milão</t>
        </is>
      </c>
      <c r="F545" s="45" t="inlineStr">
        <is>
          <t>Pendente</t>
        </is>
      </c>
      <c r="G545" s="45" t="n">
        <v>374</v>
      </c>
      <c r="H545" s="43" t="n">
        <v>498</v>
      </c>
      <c r="I545" s="46">
        <f>IF(H545=0,DATE(2026,10,29),IF(H545=1,DATE(2026,10,30),DATE(2026,11,2)+7*INT((H545-2)/3)+CHOOSE(MOD(H545-2,3)+1,0,2,4)))</f>
        <v/>
      </c>
    </row>
    <row r="546" ht="15" customHeight="1" s="24">
      <c r="A546" s="43" t="n">
        <v>545</v>
      </c>
      <c r="B546" s="44" t="inlineStr">
        <is>
          <t>Crise e Império tardio (193–476 d.C.)</t>
        </is>
      </c>
      <c r="C546" s="45" t="inlineStr">
        <is>
          <t>379</t>
        </is>
      </c>
      <c r="D546" s="44" t="inlineStr">
        <is>
          <t>Teodósio, o Grande</t>
        </is>
      </c>
      <c r="E546" s="44" t="inlineStr">
        <is>
          <t>A definir (Roma)</t>
        </is>
      </c>
      <c r="F546" s="45" t="inlineStr">
        <is>
          <t>Pendente</t>
        </is>
      </c>
      <c r="G546" s="45" t="n">
        <v>379</v>
      </c>
      <c r="H546" s="43" t="n">
        <v>499</v>
      </c>
      <c r="I546" s="46">
        <f>IF(H546=0,DATE(2026,10,29),IF(H546=1,DATE(2026,10,30),DATE(2026,11,2)+7*INT((H546-2)/3)+CHOOSE(MOD(H546-2,3)+1,0,2,4)))</f>
        <v/>
      </c>
    </row>
    <row r="547" ht="15" customHeight="1" s="24">
      <c r="A547" s="43" t="n">
        <v>546</v>
      </c>
      <c r="B547" s="44" t="inlineStr">
        <is>
          <t>Crise e Império tardio (193–476 d.C.)</t>
        </is>
      </c>
      <c r="C547" s="45" t="inlineStr">
        <is>
          <t>380</t>
        </is>
      </c>
      <c r="D547" s="44" t="inlineStr">
        <is>
          <t>O Édito de Tessalônica</t>
        </is>
      </c>
      <c r="E547" s="44" t="inlineStr">
        <is>
          <t>A definir (Roma)</t>
        </is>
      </c>
      <c r="F547" s="45" t="inlineStr">
        <is>
          <t>Pendente</t>
        </is>
      </c>
      <c r="G547" s="45" t="n">
        <v>380</v>
      </c>
      <c r="H547" s="43" t="n">
        <v>500</v>
      </c>
      <c r="I547" s="46">
        <f>IF(H547=0,DATE(2026,10,29),IF(H547=1,DATE(2026,10,30),DATE(2026,11,2)+7*INT((H547-2)/3)+CHOOSE(MOD(H547-2,3)+1,0,2,4)))</f>
        <v/>
      </c>
    </row>
    <row r="548" ht="15" customHeight="1" s="24">
      <c r="A548" s="43" t="n">
        <v>547</v>
      </c>
      <c r="B548" s="44" t="inlineStr">
        <is>
          <t>Crise e Império tardio (193–476 d.C.)</t>
        </is>
      </c>
      <c r="C548" s="45" t="inlineStr">
        <is>
          <t>382</t>
        </is>
      </c>
      <c r="D548" s="44" t="inlineStr">
        <is>
          <t>O Altar da Vitória é removido</t>
        </is>
      </c>
      <c r="E548" s="44" t="inlineStr">
        <is>
          <t>Cúria Júlia, Fórum Romano, Roma</t>
        </is>
      </c>
      <c r="F548" s="45" t="inlineStr">
        <is>
          <t>Pendente</t>
        </is>
      </c>
      <c r="G548" s="45" t="n">
        <v>382</v>
      </c>
      <c r="H548" s="43" t="n">
        <v>501</v>
      </c>
      <c r="I548" s="46">
        <f>IF(H548=0,DATE(2026,10,29),IF(H548=1,DATE(2026,10,30),DATE(2026,11,2)+7*INT((H548-2)/3)+CHOOSE(MOD(H548-2,3)+1,0,2,4)))</f>
        <v/>
      </c>
    </row>
    <row r="549" ht="15" customHeight="1" s="24">
      <c r="A549" s="43" t="n">
        <v>548</v>
      </c>
      <c r="B549" s="44" t="inlineStr">
        <is>
          <t>Crise e Império tardio (193–476 d.C.)</t>
        </is>
      </c>
      <c r="C549" s="45" t="inlineStr">
        <is>
          <t>384</t>
        </is>
      </c>
      <c r="D549" s="44" t="inlineStr">
        <is>
          <t>São Jerônimo e a Vulgata</t>
        </is>
      </c>
      <c r="E549" s="44" t="inlineStr">
        <is>
          <t>A definir (Roma)</t>
        </is>
      </c>
      <c r="F549" s="45" t="inlineStr">
        <is>
          <t>Pendente</t>
        </is>
      </c>
      <c r="G549" s="45" t="n">
        <v>384</v>
      </c>
      <c r="H549" s="43" t="n">
        <v>502</v>
      </c>
      <c r="I549" s="46">
        <f>IF(H549=0,DATE(2026,10,29),IF(H549=1,DATE(2026,10,30),DATE(2026,11,2)+7*INT((H549-2)/3)+CHOOSE(MOD(H549-2,3)+1,0,2,4)))</f>
        <v/>
      </c>
    </row>
    <row r="550" ht="15" customHeight="1" s="24">
      <c r="A550" s="43" t="n">
        <v>549</v>
      </c>
      <c r="B550" s="44" t="inlineStr">
        <is>
          <t>Crise e Império tardio (193–476 d.C.)</t>
        </is>
      </c>
      <c r="C550" s="45" t="inlineStr">
        <is>
          <t>391</t>
        </is>
      </c>
      <c r="D550" s="44" t="inlineStr">
        <is>
          <t>O fim dos cultos pagãos</t>
        </is>
      </c>
      <c r="E550" s="44" t="inlineStr">
        <is>
          <t>A definir (Roma)</t>
        </is>
      </c>
      <c r="F550" s="45" t="inlineStr">
        <is>
          <t>Pendente</t>
        </is>
      </c>
      <c r="G550" s="45" t="n">
        <v>391</v>
      </c>
      <c r="H550" s="43" t="n">
        <v>503</v>
      </c>
      <c r="I550" s="46">
        <f>IF(H550=0,DATE(2026,10,29),IF(H550=1,DATE(2026,10,30),DATE(2026,11,2)+7*INT((H550-2)/3)+CHOOSE(MOD(H550-2,3)+1,0,2,4)))</f>
        <v/>
      </c>
    </row>
    <row r="551" ht="15" customHeight="1" s="24">
      <c r="A551" s="43" t="n">
        <v>550</v>
      </c>
      <c r="B551" s="44" t="inlineStr">
        <is>
          <t>Crise e Império tardio (193–476 d.C.)</t>
        </is>
      </c>
      <c r="C551" s="45" t="inlineStr">
        <is>
          <t>394</t>
        </is>
      </c>
      <c r="D551" s="44" t="inlineStr">
        <is>
          <t>A batalha do Frígido</t>
        </is>
      </c>
      <c r="E551" s="44" t="inlineStr">
        <is>
          <t>A definir (Roma)</t>
        </is>
      </c>
      <c r="F551" s="45" t="inlineStr">
        <is>
          <t>Pendente</t>
        </is>
      </c>
      <c r="G551" s="45" t="n">
        <v>394</v>
      </c>
      <c r="H551" s="43" t="n">
        <v>504</v>
      </c>
      <c r="I551" s="46">
        <f>IF(H551=0,DATE(2026,10,29),IF(H551=1,DATE(2026,10,30),DATE(2026,11,2)+7*INT((H551-2)/3)+CHOOSE(MOD(H551-2,3)+1,0,2,4)))</f>
        <v/>
      </c>
    </row>
    <row r="552" ht="15" customHeight="1" s="24">
      <c r="A552" s="43" t="n">
        <v>551</v>
      </c>
      <c r="B552" s="44" t="inlineStr">
        <is>
          <t>Crise e Império tardio (193–476 d.C.)</t>
        </is>
      </c>
      <c r="C552" s="45" t="inlineStr">
        <is>
          <t>395</t>
        </is>
      </c>
      <c r="D552" s="44" t="inlineStr">
        <is>
          <t>A divisão definitiva do Império</t>
        </is>
      </c>
      <c r="E552" s="44" t="inlineStr">
        <is>
          <t>A definir (Roma)</t>
        </is>
      </c>
      <c r="F552" s="45" t="inlineStr">
        <is>
          <t>Pendente</t>
        </is>
      </c>
      <c r="G552" s="45" t="n">
        <v>395</v>
      </c>
      <c r="H552" s="43" t="n">
        <v>505</v>
      </c>
      <c r="I552" s="46">
        <f>IF(H552=0,DATE(2026,10,29),IF(H552=1,DATE(2026,10,30),DATE(2026,11,2)+7*INT((H552-2)/3)+CHOOSE(MOD(H552-2,3)+1,0,2,4)))</f>
        <v/>
      </c>
    </row>
    <row r="553" ht="15" customHeight="1" s="24">
      <c r="A553" s="43" t="n">
        <v>552</v>
      </c>
      <c r="B553" s="44" t="inlineStr">
        <is>
          <t>Crise e Império tardio (193–476 d.C.)</t>
        </is>
      </c>
      <c r="C553" s="45" t="inlineStr">
        <is>
          <t>398</t>
        </is>
      </c>
      <c r="D553" s="44" t="inlineStr">
        <is>
          <t>Santo Agostinho e as Confissões</t>
        </is>
      </c>
      <c r="E553" s="44" t="inlineStr">
        <is>
          <t>A definir (Roma)</t>
        </is>
      </c>
      <c r="F553" s="45" t="inlineStr">
        <is>
          <t>Pendente</t>
        </is>
      </c>
      <c r="G553" s="45" t="n">
        <v>398</v>
      </c>
      <c r="H553" s="43" t="n">
        <v>506</v>
      </c>
      <c r="I553" s="46">
        <f>IF(H553=0,DATE(2026,10,29),IF(H553=1,DATE(2026,10,30),DATE(2026,11,2)+7*INT((H553-2)/3)+CHOOSE(MOD(H553-2,3)+1,0,2,4)))</f>
        <v/>
      </c>
    </row>
    <row r="554" ht="15" customHeight="1" s="24">
      <c r="A554" s="43" t="n">
        <v>553</v>
      </c>
      <c r="B554" s="44" t="inlineStr">
        <is>
          <t>Crise e Império tardio (193–476 d.C.)</t>
        </is>
      </c>
      <c r="C554" s="45" t="inlineStr">
        <is>
          <t>401</t>
        </is>
      </c>
      <c r="D554" s="44" t="inlineStr">
        <is>
          <t>Alarico invade a Itália</t>
        </is>
      </c>
      <c r="E554" s="44" t="inlineStr">
        <is>
          <t>A definir (Roma)</t>
        </is>
      </c>
      <c r="F554" s="45" t="inlineStr">
        <is>
          <t>Pendente</t>
        </is>
      </c>
      <c r="G554" s="45" t="n">
        <v>401</v>
      </c>
      <c r="H554" s="43" t="n">
        <v>507</v>
      </c>
      <c r="I554" s="46">
        <f>IF(H554=0,DATE(2026,10,29),IF(H554=1,DATE(2026,10,30),DATE(2026,11,2)+7*INT((H554-2)/3)+CHOOSE(MOD(H554-2,3)+1,0,2,4)))</f>
        <v/>
      </c>
    </row>
    <row r="555" ht="15" customHeight="1" s="24">
      <c r="A555" s="43" t="n">
        <v>554</v>
      </c>
      <c r="B555" s="44" t="inlineStr">
        <is>
          <t>Crise e Império tardio (193–476 d.C.)</t>
        </is>
      </c>
      <c r="C555" s="45" t="inlineStr">
        <is>
          <t>402</t>
        </is>
      </c>
      <c r="D555" s="44" t="inlineStr">
        <is>
          <t>Ravena vira capital</t>
        </is>
      </c>
      <c r="E555" s="44" t="inlineStr">
        <is>
          <t>Ravena</t>
        </is>
      </c>
      <c r="F555" s="45" t="inlineStr">
        <is>
          <t>Pendente</t>
        </is>
      </c>
      <c r="G555" s="45" t="n">
        <v>402</v>
      </c>
      <c r="H555" s="43" t="n">
        <v>508</v>
      </c>
      <c r="I555" s="46">
        <f>IF(H555=0,DATE(2026,10,29),IF(H555=1,DATE(2026,10,30),DATE(2026,11,2)+7*INT((H555-2)/3)+CHOOSE(MOD(H555-2,3)+1,0,2,4)))</f>
        <v/>
      </c>
    </row>
    <row r="556" ht="15" customHeight="1" s="24">
      <c r="A556" s="43" t="n">
        <v>555</v>
      </c>
      <c r="B556" s="44" t="inlineStr">
        <is>
          <t>Crise e Império tardio (193–476 d.C.)</t>
        </is>
      </c>
      <c r="C556" s="45" t="inlineStr">
        <is>
          <t>404</t>
        </is>
      </c>
      <c r="D556" s="44" t="inlineStr">
        <is>
          <t>O último combate de gladiadores?</t>
        </is>
      </c>
      <c r="E556" s="44" t="inlineStr">
        <is>
          <t>Coliseu, Roma</t>
        </is>
      </c>
      <c r="F556" s="45" t="inlineStr">
        <is>
          <t>Pendente</t>
        </is>
      </c>
      <c r="G556" s="45" t="n">
        <v>404</v>
      </c>
      <c r="H556" s="43" t="n">
        <v>509</v>
      </c>
      <c r="I556" s="46">
        <f>IF(H556=0,DATE(2026,10,29),IF(H556=1,DATE(2026,10,30),DATE(2026,11,2)+7*INT((H556-2)/3)+CHOOSE(MOD(H556-2,3)+1,0,2,4)))</f>
        <v/>
      </c>
    </row>
    <row r="557" ht="15" customHeight="1" s="24">
      <c r="A557" s="43" t="n">
        <v>556</v>
      </c>
      <c r="B557" s="44" t="inlineStr">
        <is>
          <t>Crise e Império tardio (193–476 d.C.)</t>
        </is>
      </c>
      <c r="C557" s="45" t="inlineStr">
        <is>
          <t>408</t>
        </is>
      </c>
      <c r="D557" s="44" t="inlineStr">
        <is>
          <t>Estilicão e sua queda</t>
        </is>
      </c>
      <c r="E557" s="44" t="inlineStr">
        <is>
          <t>A definir (Roma)</t>
        </is>
      </c>
      <c r="F557" s="45" t="inlineStr">
        <is>
          <t>Pendente</t>
        </is>
      </c>
      <c r="G557" s="45" t="n">
        <v>408</v>
      </c>
      <c r="H557" s="43" t="n">
        <v>510</v>
      </c>
      <c r="I557" s="46">
        <f>IF(H557=0,DATE(2026,10,29),IF(H557=1,DATE(2026,10,30),DATE(2026,11,2)+7*INT((H557-2)/3)+CHOOSE(MOD(H557-2,3)+1,0,2,4)))</f>
        <v/>
      </c>
    </row>
    <row r="558" ht="15" customHeight="1" s="24">
      <c r="A558" s="43" t="n">
        <v>557</v>
      </c>
      <c r="B558" s="44" t="inlineStr">
        <is>
          <t>Crise e Império tardio (193–476 d.C.)</t>
        </is>
      </c>
      <c r="C558" s="45" t="inlineStr">
        <is>
          <t>410</t>
        </is>
      </c>
      <c r="D558" s="44" t="inlineStr">
        <is>
          <t>O saque de Roma por Alarico</t>
        </is>
      </c>
      <c r="E558" s="44" t="inlineStr">
        <is>
          <t>A definir (Roma)</t>
        </is>
      </c>
      <c r="F558" s="45" t="inlineStr">
        <is>
          <t>Pendente</t>
        </is>
      </c>
      <c r="G558" s="45" t="n">
        <v>410</v>
      </c>
      <c r="H558" s="43" t="n">
        <v>511</v>
      </c>
      <c r="I558" s="46">
        <f>IF(H558=0,DATE(2026,10,29),IF(H558=1,DATE(2026,10,30),DATE(2026,11,2)+7*INT((H558-2)/3)+CHOOSE(MOD(H558-2,3)+1,0,2,4)))</f>
        <v/>
      </c>
    </row>
    <row r="559" ht="15" customHeight="1" s="24">
      <c r="A559" s="43" t="n">
        <v>558</v>
      </c>
      <c r="B559" s="44" t="inlineStr">
        <is>
          <t>Crise e Império tardio (193–476 d.C.)</t>
        </is>
      </c>
      <c r="C559" s="45" t="inlineStr">
        <is>
          <t>410</t>
        </is>
      </c>
      <c r="D559" s="44" t="inlineStr">
        <is>
          <t>A Cidade de Deus de Santo Agostinho</t>
        </is>
      </c>
      <c r="E559" s="44" t="inlineStr">
        <is>
          <t>A definir (Roma)</t>
        </is>
      </c>
      <c r="F559" s="45" t="inlineStr">
        <is>
          <t>Pendente</t>
        </is>
      </c>
      <c r="G559" s="45" t="n">
        <v>410</v>
      </c>
      <c r="H559" s="43" t="n">
        <v>512</v>
      </c>
      <c r="I559" s="46">
        <f>IF(H559=0,DATE(2026,10,29),IF(H559=1,DATE(2026,10,30),DATE(2026,11,2)+7*INT((H559-2)/3)+CHOOSE(MOD(H559-2,3)+1,0,2,4)))</f>
        <v/>
      </c>
    </row>
    <row r="560" ht="15" customHeight="1" s="24">
      <c r="A560" s="43" t="n">
        <v>559</v>
      </c>
      <c r="B560" s="44" t="inlineStr">
        <is>
          <t>Crise e Império tardio (193–476 d.C.)</t>
        </is>
      </c>
      <c r="C560" s="45" t="inlineStr">
        <is>
          <t>415</t>
        </is>
      </c>
      <c r="D560" s="44" t="inlineStr">
        <is>
          <t>Gala Placídia e Ataulfo</t>
        </is>
      </c>
      <c r="E560" s="44" t="inlineStr">
        <is>
          <t>Ravena</t>
        </is>
      </c>
      <c r="F560" s="45" t="inlineStr">
        <is>
          <t>Pendente</t>
        </is>
      </c>
      <c r="G560" s="45" t="n">
        <v>415</v>
      </c>
      <c r="H560" s="43" t="n">
        <v>513</v>
      </c>
      <c r="I560" s="46">
        <f>IF(H560=0,DATE(2026,10,29),IF(H560=1,DATE(2026,10,30),DATE(2026,11,2)+7*INT((H560-2)/3)+CHOOSE(MOD(H560-2,3)+1,0,2,4)))</f>
        <v/>
      </c>
    </row>
    <row r="561" ht="15" customHeight="1" s="24">
      <c r="A561" s="43" t="n">
        <v>560</v>
      </c>
      <c r="B561" s="44" t="inlineStr">
        <is>
          <t>Crise e Império tardio (193–476 d.C.)</t>
        </is>
      </c>
      <c r="C561" s="45" t="inlineStr">
        <is>
          <t>417</t>
        </is>
      </c>
      <c r="D561" s="44" t="inlineStr">
        <is>
          <t>Santa Sabina e a Basílica do Aventino</t>
        </is>
      </c>
      <c r="E561" s="44" t="inlineStr">
        <is>
          <t>Santa Sabina, Roma</t>
        </is>
      </c>
      <c r="F561" s="45" t="inlineStr">
        <is>
          <t>Pendente</t>
        </is>
      </c>
      <c r="G561" s="45" t="n">
        <v>417</v>
      </c>
      <c r="H561" s="43" t="n">
        <v>514</v>
      </c>
      <c r="I561" s="46">
        <f>IF(H561=0,DATE(2026,10,29),IF(H561=1,DATE(2026,10,30),DATE(2026,11,2)+7*INT((H561-2)/3)+CHOOSE(MOD(H561-2,3)+1,0,2,4)))</f>
        <v/>
      </c>
    </row>
    <row r="562" ht="15" customHeight="1" s="24">
      <c r="A562" s="43" t="n">
        <v>561</v>
      </c>
      <c r="B562" s="44" t="inlineStr">
        <is>
          <t>Crise e Império tardio (193–476 d.C.)</t>
        </is>
      </c>
      <c r="C562" s="45" t="inlineStr">
        <is>
          <t>423</t>
        </is>
      </c>
      <c r="D562" s="44" t="inlineStr">
        <is>
          <t>Honório e a decadência de Roma</t>
        </is>
      </c>
      <c r="E562" s="44" t="inlineStr">
        <is>
          <t>A definir (Roma)</t>
        </is>
      </c>
      <c r="F562" s="45" t="inlineStr">
        <is>
          <t>Pendente</t>
        </is>
      </c>
      <c r="G562" s="45" t="n">
        <v>423</v>
      </c>
      <c r="H562" s="43" t="n">
        <v>515</v>
      </c>
      <c r="I562" s="46">
        <f>IF(H562=0,DATE(2026,10,29),IF(H562=1,DATE(2026,10,30),DATE(2026,11,2)+7*INT((H562-2)/3)+CHOOSE(MOD(H562-2,3)+1,0,2,4)))</f>
        <v/>
      </c>
    </row>
    <row r="563" ht="15" customHeight="1" s="24">
      <c r="A563" s="43" t="n">
        <v>562</v>
      </c>
      <c r="B563" s="44" t="inlineStr">
        <is>
          <t>Crise e Império tardio (193–476 d.C.)</t>
        </is>
      </c>
      <c r="C563" s="45" t="inlineStr">
        <is>
          <t>425</t>
        </is>
      </c>
      <c r="D563" s="44" t="inlineStr">
        <is>
          <t>Valentiniano III</t>
        </is>
      </c>
      <c r="E563" s="44" t="inlineStr">
        <is>
          <t>A definir (Roma)</t>
        </is>
      </c>
      <c r="F563" s="45" t="inlineStr">
        <is>
          <t>Pendente</t>
        </is>
      </c>
      <c r="G563" s="45" t="n">
        <v>425</v>
      </c>
      <c r="H563" s="43" t="n">
        <v>516</v>
      </c>
      <c r="I563" s="46">
        <f>IF(H563=0,DATE(2026,10,29),IF(H563=1,DATE(2026,10,30),DATE(2026,11,2)+7*INT((H563-2)/3)+CHOOSE(MOD(H563-2,3)+1,0,2,4)))</f>
        <v/>
      </c>
    </row>
    <row r="564" ht="15" customHeight="1" s="24">
      <c r="A564" s="43" t="n">
        <v>563</v>
      </c>
      <c r="B564" s="44" t="inlineStr">
        <is>
          <t>Crise e Império tardio (193–476 d.C.)</t>
        </is>
      </c>
      <c r="C564" s="45" t="inlineStr">
        <is>
          <t>430</t>
        </is>
      </c>
      <c r="D564" s="44" t="inlineStr">
        <is>
          <t>Santo Agostinho e os vândalos</t>
        </is>
      </c>
      <c r="E564" s="44" t="inlineStr">
        <is>
          <t>A definir (Roma)</t>
        </is>
      </c>
      <c r="F564" s="45" t="inlineStr">
        <is>
          <t>Pendente</t>
        </is>
      </c>
      <c r="G564" s="45" t="n">
        <v>430</v>
      </c>
      <c r="H564" s="43" t="n">
        <v>517</v>
      </c>
      <c r="I564" s="46">
        <f>IF(H564=0,DATE(2026,10,29),IF(H564=1,DATE(2026,10,30),DATE(2026,11,2)+7*INT((H564-2)/3)+CHOOSE(MOD(H564-2,3)+1,0,2,4)))</f>
        <v/>
      </c>
    </row>
    <row r="565" ht="15" customHeight="1" s="24">
      <c r="A565" s="43" t="n">
        <v>564</v>
      </c>
      <c r="B565" s="44" t="inlineStr">
        <is>
          <t>Crise e Império tardio (193–476 d.C.)</t>
        </is>
      </c>
      <c r="C565" s="45" t="inlineStr">
        <is>
          <t>432</t>
        </is>
      </c>
      <c r="D565" s="44" t="inlineStr">
        <is>
          <t>Santa Maria Maior</t>
        </is>
      </c>
      <c r="E565" s="44" t="inlineStr">
        <is>
          <t>Santa Maria Maggiore, Roma</t>
        </is>
      </c>
      <c r="F565" s="45" t="inlineStr">
        <is>
          <t>Pendente</t>
        </is>
      </c>
      <c r="G565" s="45" t="n">
        <v>432</v>
      </c>
      <c r="H565" s="43" t="n">
        <v>518</v>
      </c>
      <c r="I565" s="46">
        <f>IF(H565=0,DATE(2026,10,29),IF(H565=1,DATE(2026,10,30),DATE(2026,11,2)+7*INT((H565-2)/3)+CHOOSE(MOD(H565-2,3)+1,0,2,4)))</f>
        <v/>
      </c>
    </row>
    <row r="566" ht="15" customHeight="1" s="24">
      <c r="A566" s="43" t="n">
        <v>565</v>
      </c>
      <c r="B566" s="44" t="inlineStr">
        <is>
          <t>Crise e Império tardio (193–476 d.C.)</t>
        </is>
      </c>
      <c r="C566" s="45" t="inlineStr">
        <is>
          <t>440</t>
        </is>
      </c>
      <c r="D566" s="44" t="inlineStr">
        <is>
          <t>Leão Magno: o papa que parou Átila</t>
        </is>
      </c>
      <c r="E566" s="44" t="inlineStr">
        <is>
          <t>Basílica de São Pedro, Roma</t>
        </is>
      </c>
      <c r="F566" s="45" t="inlineStr">
        <is>
          <t>Pendente</t>
        </is>
      </c>
      <c r="G566" s="45" t="n">
        <v>440</v>
      </c>
      <c r="H566" s="43" t="n">
        <v>519</v>
      </c>
      <c r="I566" s="46">
        <f>IF(H566=0,DATE(2026,10,29),IF(H566=1,DATE(2026,10,30),DATE(2026,11,2)+7*INT((H566-2)/3)+CHOOSE(MOD(H566-2,3)+1,0,2,4)))</f>
        <v/>
      </c>
    </row>
    <row r="567" ht="15" customHeight="1" s="24">
      <c r="A567" s="43" t="n">
        <v>566</v>
      </c>
      <c r="B567" s="44" t="inlineStr">
        <is>
          <t>Crise e Império tardio (193–476 d.C.)</t>
        </is>
      </c>
      <c r="C567" s="45" t="inlineStr">
        <is>
          <t>450</t>
        </is>
      </c>
      <c r="D567" s="44" t="inlineStr">
        <is>
          <t>O Mausoléu de Gala Placídia</t>
        </is>
      </c>
      <c r="E567" s="44" t="inlineStr">
        <is>
          <t>Mausoléu de Gala Placídia, Ravena</t>
        </is>
      </c>
      <c r="F567" s="45" t="inlineStr">
        <is>
          <t>Pendente</t>
        </is>
      </c>
      <c r="G567" s="45" t="n">
        <v>450</v>
      </c>
      <c r="H567" s="43" t="n">
        <v>520</v>
      </c>
      <c r="I567" s="46">
        <f>IF(H567=0,DATE(2026,10,29),IF(H567=1,DATE(2026,10,30),DATE(2026,11,2)+7*INT((H567-2)/3)+CHOOSE(MOD(H567-2,3)+1,0,2,4)))</f>
        <v/>
      </c>
    </row>
    <row r="568" ht="15" customHeight="1" s="24">
      <c r="A568" s="43" t="n">
        <v>567</v>
      </c>
      <c r="B568" s="44" t="inlineStr">
        <is>
          <t>Crise e Império tardio (193–476 d.C.)</t>
        </is>
      </c>
      <c r="C568" s="45" t="inlineStr">
        <is>
          <t>451</t>
        </is>
      </c>
      <c r="D568" s="44" t="inlineStr">
        <is>
          <t>Os Campos Cataláunicos</t>
        </is>
      </c>
      <c r="E568" s="44" t="inlineStr">
        <is>
          <t>A definir (Roma)</t>
        </is>
      </c>
      <c r="F568" s="45" t="inlineStr">
        <is>
          <t>Pendente</t>
        </is>
      </c>
      <c r="G568" s="45" t="n">
        <v>451</v>
      </c>
      <c r="H568" s="43" t="n">
        <v>521</v>
      </c>
      <c r="I568" s="46">
        <f>IF(H568=0,DATE(2026,10,29),IF(H568=1,DATE(2026,10,30),DATE(2026,11,2)+7*INT((H568-2)/3)+CHOOSE(MOD(H568-2,3)+1,0,2,4)))</f>
        <v/>
      </c>
    </row>
    <row r="569" ht="15" customHeight="1" s="24">
      <c r="A569" s="43" t="n">
        <v>568</v>
      </c>
      <c r="B569" s="44" t="inlineStr">
        <is>
          <t>Crise e Império tardio (193–476 d.C.)</t>
        </is>
      </c>
      <c r="C569" s="45" t="inlineStr">
        <is>
          <t>452</t>
        </is>
      </c>
      <c r="D569" s="44" t="inlineStr">
        <is>
          <t>Átila na Itália</t>
        </is>
      </c>
      <c r="E569" s="44" t="inlineStr">
        <is>
          <t>A definir (Roma)</t>
        </is>
      </c>
      <c r="F569" s="45" t="inlineStr">
        <is>
          <t>Pendente</t>
        </is>
      </c>
      <c r="G569" s="45" t="n">
        <v>452</v>
      </c>
      <c r="H569" s="43" t="n">
        <v>522</v>
      </c>
      <c r="I569" s="46">
        <f>IF(H569=0,DATE(2026,10,29),IF(H569=1,DATE(2026,10,30),DATE(2026,11,2)+7*INT((H569-2)/3)+CHOOSE(MOD(H569-2,3)+1,0,2,4)))</f>
        <v/>
      </c>
    </row>
    <row r="570" ht="15" customHeight="1" s="24">
      <c r="A570" s="43" t="n">
        <v>569</v>
      </c>
      <c r="B570" s="44" t="inlineStr">
        <is>
          <t>Crise e Império tardio (193–476 d.C.)</t>
        </is>
      </c>
      <c r="C570" s="45" t="inlineStr">
        <is>
          <t>455</t>
        </is>
      </c>
      <c r="D570" s="44" t="inlineStr">
        <is>
          <t>O saque dos vândalos</t>
        </is>
      </c>
      <c r="E570" s="44" t="inlineStr">
        <is>
          <t>A definir (Roma)</t>
        </is>
      </c>
      <c r="F570" s="45" t="inlineStr">
        <is>
          <t>Pendente</t>
        </is>
      </c>
      <c r="G570" s="45" t="n">
        <v>455</v>
      </c>
      <c r="H570" s="43" t="n">
        <v>523</v>
      </c>
      <c r="I570" s="46">
        <f>IF(H570=0,DATE(2026,10,29),IF(H570=1,DATE(2026,10,30),DATE(2026,11,2)+7*INT((H570-2)/3)+CHOOSE(MOD(H570-2,3)+1,0,2,4)))</f>
        <v/>
      </c>
    </row>
    <row r="571" ht="15" customHeight="1" s="24">
      <c r="A571" s="43" t="n">
        <v>570</v>
      </c>
      <c r="B571" s="44" t="inlineStr">
        <is>
          <t>Crise e Império tardio (193–476 d.C.)</t>
        </is>
      </c>
      <c r="C571" s="45" t="inlineStr">
        <is>
          <t>456</t>
        </is>
      </c>
      <c r="D571" s="44" t="inlineStr">
        <is>
          <t>Ricímero: o fazedor de reis</t>
        </is>
      </c>
      <c r="E571" s="44" t="inlineStr">
        <is>
          <t>A definir (Roma)</t>
        </is>
      </c>
      <c r="F571" s="45" t="inlineStr">
        <is>
          <t>Pendente</t>
        </is>
      </c>
      <c r="G571" s="45" t="n">
        <v>456</v>
      </c>
      <c r="H571" s="43" t="n">
        <v>524</v>
      </c>
      <c r="I571" s="46">
        <f>IF(H571=0,DATE(2026,10,29),IF(H571=1,DATE(2026,10,30),DATE(2026,11,2)+7*INT((H571-2)/3)+CHOOSE(MOD(H571-2,3)+1,0,2,4)))</f>
        <v/>
      </c>
    </row>
    <row r="572" ht="15" customHeight="1" s="24">
      <c r="A572" s="43" t="n">
        <v>571</v>
      </c>
      <c r="B572" s="44" t="inlineStr">
        <is>
          <t>Crise e Império tardio (193–476 d.C.)</t>
        </is>
      </c>
      <c r="C572" s="45" t="inlineStr">
        <is>
          <t>460</t>
        </is>
      </c>
      <c r="D572" s="44" t="inlineStr">
        <is>
          <t>Os últimos imperadores do Ocidente</t>
        </is>
      </c>
      <c r="E572" s="44" t="inlineStr">
        <is>
          <t>A definir (Roma)</t>
        </is>
      </c>
      <c r="F572" s="45" t="inlineStr">
        <is>
          <t>Pendente</t>
        </is>
      </c>
      <c r="G572" s="45" t="n">
        <v>460</v>
      </c>
      <c r="H572" s="43" t="n">
        <v>525</v>
      </c>
      <c r="I572" s="46">
        <f>IF(H572=0,DATE(2026,10,29),IF(H572=1,DATE(2026,10,30),DATE(2026,11,2)+7*INT((H572-2)/3)+CHOOSE(MOD(H572-2,3)+1,0,2,4)))</f>
        <v/>
      </c>
    </row>
    <row r="573" ht="15" customHeight="1" s="24">
      <c r="A573" s="43" t="n">
        <v>572</v>
      </c>
      <c r="B573" s="44" t="inlineStr">
        <is>
          <t>Crise e Império tardio (193–476 d.C.)</t>
        </is>
      </c>
      <c r="C573" s="45" t="inlineStr">
        <is>
          <t>467</t>
        </is>
      </c>
      <c r="D573" s="44" t="inlineStr">
        <is>
          <t>Antêmio e Ricímero</t>
        </is>
      </c>
      <c r="E573" s="44" t="inlineStr">
        <is>
          <t>A definir (Roma)</t>
        </is>
      </c>
      <c r="F573" s="45" t="inlineStr">
        <is>
          <t>Pendente</t>
        </is>
      </c>
      <c r="G573" s="45" t="n">
        <v>467</v>
      </c>
      <c r="H573" s="43" t="n">
        <v>526</v>
      </c>
      <c r="I573" s="46">
        <f>IF(H573=0,DATE(2026,10,29),IF(H573=1,DATE(2026,10,30),DATE(2026,11,2)+7*INT((H573-2)/3)+CHOOSE(MOD(H573-2,3)+1,0,2,4)))</f>
        <v/>
      </c>
    </row>
    <row r="574" ht="15" customHeight="1" s="24">
      <c r="A574" s="43" t="n">
        <v>573</v>
      </c>
      <c r="B574" s="44" t="inlineStr">
        <is>
          <t>Crise e Império tardio (193–476 d.C.)</t>
        </is>
      </c>
      <c r="C574" s="45" t="inlineStr">
        <is>
          <t>472</t>
        </is>
      </c>
      <c r="D574" s="44" t="inlineStr">
        <is>
          <t>Olíbrio e Ricímero</t>
        </is>
      </c>
      <c r="E574" s="44" t="inlineStr">
        <is>
          <t>A definir (Roma)</t>
        </is>
      </c>
      <c r="F574" s="45" t="inlineStr">
        <is>
          <t>Pendente</t>
        </is>
      </c>
      <c r="G574" s="45" t="n">
        <v>472</v>
      </c>
      <c r="H574" s="43" t="n">
        <v>527</v>
      </c>
      <c r="I574" s="46">
        <f>IF(H574=0,DATE(2026,10,29),IF(H574=1,DATE(2026,10,30),DATE(2026,11,2)+7*INT((H574-2)/3)+CHOOSE(MOD(H574-2,3)+1,0,2,4)))</f>
        <v/>
      </c>
    </row>
    <row r="575" ht="15" customHeight="1" s="24">
      <c r="A575" s="43" t="n">
        <v>574</v>
      </c>
      <c r="B575" s="44" t="inlineStr">
        <is>
          <t>Crise e Império tardio (193–476 d.C.)</t>
        </is>
      </c>
      <c r="C575" s="45" t="inlineStr">
        <is>
          <t>473</t>
        </is>
      </c>
      <c r="D575" s="44" t="inlineStr">
        <is>
          <t>Glicério e Júlio Nepos</t>
        </is>
      </c>
      <c r="E575" s="44" t="inlineStr">
        <is>
          <t>A definir (Roma)</t>
        </is>
      </c>
      <c r="F575" s="45" t="inlineStr">
        <is>
          <t>Pendente</t>
        </is>
      </c>
      <c r="G575" s="45" t="n">
        <v>473</v>
      </c>
      <c r="H575" s="43" t="n">
        <v>528</v>
      </c>
      <c r="I575" s="46">
        <f>IF(H575=0,DATE(2026,10,29),IF(H575=1,DATE(2026,10,30),DATE(2026,11,2)+7*INT((H575-2)/3)+CHOOSE(MOD(H575-2,3)+1,0,2,4)))</f>
        <v/>
      </c>
    </row>
    <row r="576" ht="15" customHeight="1" s="24">
      <c r="A576" s="43" t="n">
        <v>575</v>
      </c>
      <c r="B576" s="44" t="inlineStr">
        <is>
          <t>Crise e Império tardio (193–476 d.C.)</t>
        </is>
      </c>
      <c r="C576" s="45" t="inlineStr">
        <is>
          <t>475</t>
        </is>
      </c>
      <c r="D576" s="44" t="inlineStr">
        <is>
          <t>Rômulo Augústulo</t>
        </is>
      </c>
      <c r="E576" s="44" t="inlineStr">
        <is>
          <t>A definir (Roma)</t>
        </is>
      </c>
      <c r="F576" s="45" t="inlineStr">
        <is>
          <t>Pendente</t>
        </is>
      </c>
      <c r="G576" s="45" t="n">
        <v>475</v>
      </c>
      <c r="H576" s="43" t="n">
        <v>529</v>
      </c>
      <c r="I576" s="46">
        <f>IF(H576=0,DATE(2026,10,29),IF(H576=1,DATE(2026,10,30),DATE(2026,11,2)+7*INT((H576-2)/3)+CHOOSE(MOD(H576-2,3)+1,0,2,4)))</f>
        <v/>
      </c>
    </row>
    <row r="577" ht="15" customHeight="1" s="24">
      <c r="A577" s="43" t="n">
        <v>576</v>
      </c>
      <c r="B577" s="44" t="inlineStr">
        <is>
          <t>Crise e Império tardio (193–476 d.C.)</t>
        </is>
      </c>
      <c r="C577" s="45" t="inlineStr">
        <is>
          <t>476</t>
        </is>
      </c>
      <c r="D577" s="44" t="inlineStr">
        <is>
          <t>Odoacro depõe o último imperador</t>
        </is>
      </c>
      <c r="E577" s="44" t="inlineStr">
        <is>
          <t>Ravena</t>
        </is>
      </c>
      <c r="F577" s="45" t="inlineStr">
        <is>
          <t>Pendente</t>
        </is>
      </c>
      <c r="G577" s="45" t="n">
        <v>476</v>
      </c>
      <c r="H577" s="43" t="n">
        <v>530</v>
      </c>
      <c r="I577" s="46">
        <f>IF(H577=0,DATE(2026,10,29),IF(H577=1,DATE(2026,10,30),DATE(2026,11,2)+7*INT((H577-2)/3)+CHOOSE(MOD(H577-2,3)+1,0,2,4)))</f>
        <v/>
      </c>
    </row>
    <row r="578" ht="15" customHeight="1" s="24">
      <c r="A578" s="43" t="n">
        <v>577</v>
      </c>
      <c r="B578" s="44" t="inlineStr">
        <is>
          <t>Crise e Império tardio (193–476 d.C.)</t>
        </is>
      </c>
      <c r="C578" s="45" t="inlineStr">
        <is>
          <t>476</t>
        </is>
      </c>
      <c r="D578" s="44" t="inlineStr">
        <is>
          <t>O fim do Império Romano do Ocidente?</t>
        </is>
      </c>
      <c r="E578" s="44" t="inlineStr">
        <is>
          <t>A definir (Roma)</t>
        </is>
      </c>
      <c r="F578" s="45" t="inlineStr">
        <is>
          <t>Pendente</t>
        </is>
      </c>
      <c r="G578" s="45" t="n">
        <v>476</v>
      </c>
      <c r="H578" s="43" t="n">
        <v>531</v>
      </c>
      <c r="I578" s="46">
        <f>IF(H578=0,DATE(2026,10,29),IF(H578=1,DATE(2026,10,30),DATE(2026,11,2)+7*INT((H578-2)/3)+CHOOSE(MOD(H578-2,3)+1,0,2,4)))</f>
        <v/>
      </c>
    </row>
    <row r="579" ht="23.85" customHeight="1" s="24">
      <c r="A579" s="43" t="n">
        <v>578</v>
      </c>
      <c r="B579" s="44" t="inlineStr">
        <is>
          <t>Alta Idade Média: ostrogodos, bizantinos, lombardos e papas (476–1000)</t>
        </is>
      </c>
      <c r="C579" s="45" t="inlineStr">
        <is>
          <t>477</t>
        </is>
      </c>
      <c r="D579" s="44" t="inlineStr">
        <is>
          <t>Odoacro, rei da Itália</t>
        </is>
      </c>
      <c r="E579" s="44" t="inlineStr">
        <is>
          <t>Ravena</t>
        </is>
      </c>
      <c r="F579" s="45" t="inlineStr">
        <is>
          <t>Pendente</t>
        </is>
      </c>
      <c r="G579" s="45" t="n">
        <v>477</v>
      </c>
      <c r="H579" s="43" t="n">
        <v>532</v>
      </c>
      <c r="I579" s="46">
        <f>IF(H579=0,DATE(2026,10,29),IF(H579=1,DATE(2026,10,30),DATE(2026,11,2)+7*INT((H579-2)/3)+CHOOSE(MOD(H579-2,3)+1,0,2,4)))</f>
        <v/>
      </c>
    </row>
    <row r="580" ht="23.85" customHeight="1" s="24">
      <c r="A580" s="43" t="n">
        <v>579</v>
      </c>
      <c r="B580" s="44" t="inlineStr">
        <is>
          <t>Alta Idade Média: ostrogodos, bizantinos, lombardos e papas (476–1000)</t>
        </is>
      </c>
      <c r="C580" s="45" t="inlineStr">
        <is>
          <t>489</t>
        </is>
      </c>
      <c r="D580" s="44" t="inlineStr">
        <is>
          <t>Teodorico e a invasão ostrogoda</t>
        </is>
      </c>
      <c r="E580" s="44" t="inlineStr">
        <is>
          <t>Ravena</t>
        </is>
      </c>
      <c r="F580" s="45" t="inlineStr">
        <is>
          <t>Pendente</t>
        </is>
      </c>
      <c r="G580" s="45" t="n">
        <v>489</v>
      </c>
      <c r="H580" s="43" t="n">
        <v>533</v>
      </c>
      <c r="I580" s="46">
        <f>IF(H580=0,DATE(2026,10,29),IF(H580=1,DATE(2026,10,30),DATE(2026,11,2)+7*INT((H580-2)/3)+CHOOSE(MOD(H580-2,3)+1,0,2,4)))</f>
        <v/>
      </c>
    </row>
    <row r="581" ht="23.85" customHeight="1" s="24">
      <c r="A581" s="43" t="n">
        <v>580</v>
      </c>
      <c r="B581" s="44" t="inlineStr">
        <is>
          <t>Alta Idade Média: ostrogodos, bizantinos, lombardos e papas (476–1000)</t>
        </is>
      </c>
      <c r="C581" s="45" t="inlineStr">
        <is>
          <t>493</t>
        </is>
      </c>
      <c r="D581" s="44" t="inlineStr">
        <is>
          <t>Teodorico, rei dos godos e dos romanos</t>
        </is>
      </c>
      <c r="E581" s="44" t="inlineStr">
        <is>
          <t>Mausoléu de Teodorico, Ravena</t>
        </is>
      </c>
      <c r="F581" s="45" t="inlineStr">
        <is>
          <t>Pendente</t>
        </is>
      </c>
      <c r="G581" s="45" t="n">
        <v>493</v>
      </c>
      <c r="H581" s="43" t="n">
        <v>534</v>
      </c>
      <c r="I581" s="46">
        <f>IF(H581=0,DATE(2026,10,29),IF(H581=1,DATE(2026,10,30),DATE(2026,11,2)+7*INT((H581-2)/3)+CHOOSE(MOD(H581-2,3)+1,0,2,4)))</f>
        <v/>
      </c>
    </row>
    <row r="582" ht="23.85" customHeight="1" s="24">
      <c r="A582" s="43" t="n">
        <v>581</v>
      </c>
      <c r="B582" s="44" t="inlineStr">
        <is>
          <t>Alta Idade Média: ostrogodos, bizantinos, lombardos e papas (476–1000)</t>
        </is>
      </c>
      <c r="C582" s="45" t="inlineStr">
        <is>
          <t>500</t>
        </is>
      </c>
      <c r="D582" s="44" t="inlineStr">
        <is>
          <t>Teodorico visita Roma</t>
        </is>
      </c>
      <c r="E582" s="44" t="inlineStr">
        <is>
          <t>A definir (Roma)</t>
        </is>
      </c>
      <c r="F582" s="45" t="inlineStr">
        <is>
          <t>Pendente</t>
        </is>
      </c>
      <c r="G582" s="45" t="n">
        <v>500</v>
      </c>
      <c r="H582" s="43" t="n">
        <v>535</v>
      </c>
      <c r="I582" s="46">
        <f>IF(H582=0,DATE(2026,10,29),IF(H582=1,DATE(2026,10,30),DATE(2026,11,2)+7*INT((H582-2)/3)+CHOOSE(MOD(H582-2,3)+1,0,2,4)))</f>
        <v/>
      </c>
    </row>
    <row r="583" ht="23.85" customHeight="1" s="24">
      <c r="A583" s="43" t="n">
        <v>582</v>
      </c>
      <c r="B583" s="44" t="inlineStr">
        <is>
          <t>Alta Idade Média: ostrogodos, bizantinos, lombardos e papas (476–1000)</t>
        </is>
      </c>
      <c r="C583" s="45" t="inlineStr">
        <is>
          <t>504</t>
        </is>
      </c>
      <c r="D583" s="44" t="inlineStr">
        <is>
          <t>Cassiodoro e a cultura em tempos difíceis</t>
        </is>
      </c>
      <c r="E583" s="44" t="inlineStr">
        <is>
          <t>Squillace</t>
        </is>
      </c>
      <c r="F583" s="45" t="inlineStr">
        <is>
          <t>Pendente</t>
        </is>
      </c>
      <c r="G583" s="45" t="n">
        <v>504</v>
      </c>
      <c r="H583" s="43" t="n">
        <v>536</v>
      </c>
      <c r="I583" s="46">
        <f>IF(H583=0,DATE(2026,10,29),IF(H583=1,DATE(2026,10,30),DATE(2026,11,2)+7*INT((H583-2)/3)+CHOOSE(MOD(H583-2,3)+1,0,2,4)))</f>
        <v/>
      </c>
    </row>
    <row r="584" ht="23.85" customHeight="1" s="24">
      <c r="A584" s="43" t="n">
        <v>583</v>
      </c>
      <c r="B584" s="44" t="inlineStr">
        <is>
          <t>Alta Idade Média: ostrogodos, bizantinos, lombardos e papas (476–1000)</t>
        </is>
      </c>
      <c r="C584" s="45" t="inlineStr">
        <is>
          <t>520</t>
        </is>
      </c>
      <c r="D584" s="44" t="inlineStr">
        <is>
          <t>Boécio e a Consolação da Filosofia</t>
        </is>
      </c>
      <c r="E584" s="44" t="inlineStr">
        <is>
          <t>Pavia</t>
        </is>
      </c>
      <c r="F584" s="45" t="inlineStr">
        <is>
          <t>Pendente</t>
        </is>
      </c>
      <c r="G584" s="45" t="n">
        <v>520</v>
      </c>
      <c r="H584" s="43" t="n">
        <v>537</v>
      </c>
      <c r="I584" s="46">
        <f>IF(H584=0,DATE(2026,10,29),IF(H584=1,DATE(2026,10,30),DATE(2026,11,2)+7*INT((H584-2)/3)+CHOOSE(MOD(H584-2,3)+1,0,2,4)))</f>
        <v/>
      </c>
    </row>
    <row r="585" ht="23.85" customHeight="1" s="24">
      <c r="A585" s="43" t="n">
        <v>584</v>
      </c>
      <c r="B585" s="44" t="inlineStr">
        <is>
          <t>Alta Idade Média: ostrogodos, bizantinos, lombardos e papas (476–1000)</t>
        </is>
      </c>
      <c r="C585" s="45" t="inlineStr">
        <is>
          <t>524</t>
        </is>
      </c>
      <c r="D585" s="44" t="inlineStr">
        <is>
          <t>A morte de Boécio</t>
        </is>
      </c>
      <c r="E585" s="44" t="inlineStr">
        <is>
          <t>Pavia</t>
        </is>
      </c>
      <c r="F585" s="45" t="inlineStr">
        <is>
          <t>Pendente</t>
        </is>
      </c>
      <c r="G585" s="45" t="n">
        <v>524</v>
      </c>
      <c r="H585" s="43" t="n">
        <v>538</v>
      </c>
      <c r="I585" s="46">
        <f>IF(H585=0,DATE(2026,10,29),IF(H585=1,DATE(2026,10,30),DATE(2026,11,2)+7*INT((H585-2)/3)+CHOOSE(MOD(H585-2,3)+1,0,2,4)))</f>
        <v/>
      </c>
    </row>
    <row r="586" ht="23.85" customHeight="1" s="24">
      <c r="A586" s="43" t="n">
        <v>585</v>
      </c>
      <c r="B586" s="44" t="inlineStr">
        <is>
          <t>Alta Idade Média: ostrogodos, bizantinos, lombardos e papas (476–1000)</t>
        </is>
      </c>
      <c r="C586" s="45" t="inlineStr">
        <is>
          <t>526</t>
        </is>
      </c>
      <c r="D586" s="44" t="inlineStr">
        <is>
          <t>A morte de Teodorico</t>
        </is>
      </c>
      <c r="E586" s="44" t="inlineStr">
        <is>
          <t>Mausoléu de Teodorico, Ravena</t>
        </is>
      </c>
      <c r="F586" s="45" t="inlineStr">
        <is>
          <t>Pendente</t>
        </is>
      </c>
      <c r="G586" s="45" t="n">
        <v>526</v>
      </c>
      <c r="H586" s="43" t="n">
        <v>539</v>
      </c>
      <c r="I586" s="46">
        <f>IF(H586=0,DATE(2026,10,29),IF(H586=1,DATE(2026,10,30),DATE(2026,11,2)+7*INT((H586-2)/3)+CHOOSE(MOD(H586-2,3)+1,0,2,4)))</f>
        <v/>
      </c>
    </row>
    <row r="587" ht="23.85" customHeight="1" s="24">
      <c r="A587" s="43" t="n">
        <v>586</v>
      </c>
      <c r="B587" s="44" t="inlineStr">
        <is>
          <t>Alta Idade Média: ostrogodos, bizantinos, lombardos e papas (476–1000)</t>
        </is>
      </c>
      <c r="C587" s="45" t="inlineStr">
        <is>
          <t>529</t>
        </is>
      </c>
      <c r="D587" s="44" t="inlineStr">
        <is>
          <t>São Bento e Monte Cassino</t>
        </is>
      </c>
      <c r="E587" s="44" t="inlineStr">
        <is>
          <t>Abadia de Monte Cassino</t>
        </is>
      </c>
      <c r="F587" s="45" t="inlineStr">
        <is>
          <t>Pendente</t>
        </is>
      </c>
      <c r="G587" s="45" t="n">
        <v>529</v>
      </c>
      <c r="H587" s="43" t="n">
        <v>540</v>
      </c>
      <c r="I587" s="46">
        <f>IF(H587=0,DATE(2026,10,29),IF(H587=1,DATE(2026,10,30),DATE(2026,11,2)+7*INT((H587-2)/3)+CHOOSE(MOD(H587-2,3)+1,0,2,4)))</f>
        <v/>
      </c>
    </row>
    <row r="588" ht="23.85" customHeight="1" s="24">
      <c r="A588" s="43" t="n">
        <v>587</v>
      </c>
      <c r="B588" s="44" t="inlineStr">
        <is>
          <t>Alta Idade Média: ostrogodos, bizantinos, lombardos e papas (476–1000)</t>
        </is>
      </c>
      <c r="C588" s="45" t="inlineStr">
        <is>
          <t>530</t>
        </is>
      </c>
      <c r="D588" s="44" t="inlineStr">
        <is>
          <t>O papa e o Senado em Roma</t>
        </is>
      </c>
      <c r="E588" s="44" t="inlineStr">
        <is>
          <t>A definir (Roma)</t>
        </is>
      </c>
      <c r="F588" s="45" t="inlineStr">
        <is>
          <t>Pendente</t>
        </is>
      </c>
      <c r="G588" s="45" t="n">
        <v>530</v>
      </c>
      <c r="H588" s="43" t="n">
        <v>541</v>
      </c>
      <c r="I588" s="46">
        <f>IF(H588=0,DATE(2026,10,29),IF(H588=1,DATE(2026,10,30),DATE(2026,11,2)+7*INT((H588-2)/3)+CHOOSE(MOD(H588-2,3)+1,0,2,4)))</f>
        <v/>
      </c>
    </row>
    <row r="589" ht="23.85" customHeight="1" s="24">
      <c r="A589" s="43" t="n">
        <v>588</v>
      </c>
      <c r="B589" s="44" t="inlineStr">
        <is>
          <t>Alta Idade Média: ostrogodos, bizantinos, lombardos e papas (476–1000)</t>
        </is>
      </c>
      <c r="C589" s="45" t="inlineStr">
        <is>
          <t>535</t>
        </is>
      </c>
      <c r="D589" s="44" t="inlineStr">
        <is>
          <t>Justiniano e a Guerra Gótica</t>
        </is>
      </c>
      <c r="E589" s="44" t="inlineStr">
        <is>
          <t>A definir (Roma)</t>
        </is>
      </c>
      <c r="F589" s="45" t="inlineStr">
        <is>
          <t>Pendente</t>
        </is>
      </c>
      <c r="G589" s="45" t="n">
        <v>535</v>
      </c>
      <c r="H589" s="43" t="n">
        <v>542</v>
      </c>
      <c r="I589" s="46">
        <f>IF(H589=0,DATE(2026,10,29),IF(H589=1,DATE(2026,10,30),DATE(2026,11,2)+7*INT((H589-2)/3)+CHOOSE(MOD(H589-2,3)+1,0,2,4)))</f>
        <v/>
      </c>
    </row>
    <row r="590" ht="23.85" customHeight="1" s="24">
      <c r="A590" s="43" t="n">
        <v>589</v>
      </c>
      <c r="B590" s="44" t="inlineStr">
        <is>
          <t>Alta Idade Média: ostrogodos, bizantinos, lombardos e papas (476–1000)</t>
        </is>
      </c>
      <c r="C590" s="45" t="inlineStr">
        <is>
          <t>536</t>
        </is>
      </c>
      <c r="D590" s="44" t="inlineStr">
        <is>
          <t>O cerco de Roma por Vitige</t>
        </is>
      </c>
      <c r="E590" s="44" t="inlineStr">
        <is>
          <t>A definir (Roma)</t>
        </is>
      </c>
      <c r="F590" s="45" t="inlineStr">
        <is>
          <t>Pendente</t>
        </is>
      </c>
      <c r="G590" s="45" t="n">
        <v>536</v>
      </c>
      <c r="H590" s="43" t="n">
        <v>543</v>
      </c>
      <c r="I590" s="46">
        <f>IF(H590=0,DATE(2026,10,29),IF(H590=1,DATE(2026,10,30),DATE(2026,11,2)+7*INT((H590-2)/3)+CHOOSE(MOD(H590-2,3)+1,0,2,4)))</f>
        <v/>
      </c>
    </row>
    <row r="591" ht="23.85" customHeight="1" s="24">
      <c r="A591" s="43" t="n">
        <v>590</v>
      </c>
      <c r="B591" s="44" t="inlineStr">
        <is>
          <t>Alta Idade Média: ostrogodos, bizantinos, lombardos e papas (476–1000)</t>
        </is>
      </c>
      <c r="C591" s="45" t="inlineStr">
        <is>
          <t>540</t>
        </is>
      </c>
      <c r="D591" s="44" t="inlineStr">
        <is>
          <t>Belisário em Ravena</t>
        </is>
      </c>
      <c r="E591" s="44" t="inlineStr">
        <is>
          <t>Ravena</t>
        </is>
      </c>
      <c r="F591" s="45" t="inlineStr">
        <is>
          <t>Pendente</t>
        </is>
      </c>
      <c r="G591" s="45" t="n">
        <v>540</v>
      </c>
      <c r="H591" s="43" t="n">
        <v>544</v>
      </c>
      <c r="I591" s="46">
        <f>IF(H591=0,DATE(2026,10,29),IF(H591=1,DATE(2026,10,30),DATE(2026,11,2)+7*INT((H591-2)/3)+CHOOSE(MOD(H591-2,3)+1,0,2,4)))</f>
        <v/>
      </c>
    </row>
    <row r="592" ht="23.85" customHeight="1" s="24">
      <c r="A592" s="43" t="n">
        <v>591</v>
      </c>
      <c r="B592" s="44" t="inlineStr">
        <is>
          <t>Alta Idade Média: ostrogodos, bizantinos, lombardos e papas (476–1000)</t>
        </is>
      </c>
      <c r="C592" s="45" t="inlineStr">
        <is>
          <t>546</t>
        </is>
      </c>
      <c r="D592" s="44" t="inlineStr">
        <is>
          <t>Totila saqueia Roma</t>
        </is>
      </c>
      <c r="E592" s="44" t="inlineStr">
        <is>
          <t>A definir (Roma)</t>
        </is>
      </c>
      <c r="F592" s="45" t="inlineStr">
        <is>
          <t>Pendente</t>
        </is>
      </c>
      <c r="G592" s="45" t="n">
        <v>546</v>
      </c>
      <c r="H592" s="43" t="n">
        <v>545</v>
      </c>
      <c r="I592" s="46">
        <f>IF(H592=0,DATE(2026,10,29),IF(H592=1,DATE(2026,10,30),DATE(2026,11,2)+7*INT((H592-2)/3)+CHOOSE(MOD(H592-2,3)+1,0,2,4)))</f>
        <v/>
      </c>
    </row>
    <row r="593" ht="23.85" customHeight="1" s="24">
      <c r="A593" s="43" t="n">
        <v>592</v>
      </c>
      <c r="B593" s="44" t="inlineStr">
        <is>
          <t>Alta Idade Média: ostrogodos, bizantinos, lombardos e papas (476–1000)</t>
        </is>
      </c>
      <c r="C593" s="45" t="inlineStr">
        <is>
          <t>547</t>
        </is>
      </c>
      <c r="D593" s="44" t="inlineStr">
        <is>
          <t>San Vitale: os mosaicos de Justiniano e Teodora</t>
        </is>
      </c>
      <c r="E593" s="44" t="inlineStr">
        <is>
          <t>San Vitale, Ravena</t>
        </is>
      </c>
      <c r="F593" s="45" t="inlineStr">
        <is>
          <t>Pendente</t>
        </is>
      </c>
      <c r="G593" s="45" t="n">
        <v>547</v>
      </c>
      <c r="H593" s="43" t="n">
        <v>546</v>
      </c>
      <c r="I593" s="46">
        <f>IF(H593=0,DATE(2026,10,29),IF(H593=1,DATE(2026,10,30),DATE(2026,11,2)+7*INT((H593-2)/3)+CHOOSE(MOD(H593-2,3)+1,0,2,4)))</f>
        <v/>
      </c>
    </row>
    <row r="594" ht="23.85" customHeight="1" s="24">
      <c r="A594" s="43" t="n">
        <v>593</v>
      </c>
      <c r="B594" s="44" t="inlineStr">
        <is>
          <t>Alta Idade Média: ostrogodos, bizantinos, lombardos e papas (476–1000)</t>
        </is>
      </c>
      <c r="C594" s="45" t="inlineStr">
        <is>
          <t>549</t>
        </is>
      </c>
      <c r="D594" s="44" t="inlineStr">
        <is>
          <t>Sant'Apollinare in Classe</t>
        </is>
      </c>
      <c r="E594" s="44" t="inlineStr">
        <is>
          <t>Sant'Apollinare in Classe, Ravena</t>
        </is>
      </c>
      <c r="F594" s="45" t="inlineStr">
        <is>
          <t>Pendente</t>
        </is>
      </c>
      <c r="G594" s="45" t="n">
        <v>549</v>
      </c>
      <c r="H594" s="43" t="n">
        <v>547</v>
      </c>
      <c r="I594" s="46">
        <f>IF(H594=0,DATE(2026,10,29),IF(H594=1,DATE(2026,10,30),DATE(2026,11,2)+7*INT((H594-2)/3)+CHOOSE(MOD(H594-2,3)+1,0,2,4)))</f>
        <v/>
      </c>
    </row>
    <row r="595" ht="23.85" customHeight="1" s="24">
      <c r="A595" s="43" t="n">
        <v>594</v>
      </c>
      <c r="B595" s="44" t="inlineStr">
        <is>
          <t>Alta Idade Média: ostrogodos, bizantinos, lombardos e papas (476–1000)</t>
        </is>
      </c>
      <c r="C595" s="45" t="inlineStr">
        <is>
          <t>552</t>
        </is>
      </c>
      <c r="D595" s="44" t="inlineStr">
        <is>
          <t>Narses e a batalha de Busta Gallorum</t>
        </is>
      </c>
      <c r="E595" s="44" t="inlineStr">
        <is>
          <t>Gubbio</t>
        </is>
      </c>
      <c r="F595" s="45" t="inlineStr">
        <is>
          <t>Pendente</t>
        </is>
      </c>
      <c r="G595" s="45" t="n">
        <v>552</v>
      </c>
      <c r="H595" s="43" t="n">
        <v>548</v>
      </c>
      <c r="I595" s="46">
        <f>IF(H595=0,DATE(2026,10,29),IF(H595=1,DATE(2026,10,30),DATE(2026,11,2)+7*INT((H595-2)/3)+CHOOSE(MOD(H595-2,3)+1,0,2,4)))</f>
        <v/>
      </c>
    </row>
    <row r="596" ht="23.85" customHeight="1" s="24">
      <c r="A596" s="43" t="n">
        <v>595</v>
      </c>
      <c r="B596" s="44" t="inlineStr">
        <is>
          <t>Alta Idade Média: ostrogodos, bizantinos, lombardos e papas (476–1000)</t>
        </is>
      </c>
      <c r="C596" s="45" t="inlineStr">
        <is>
          <t>554</t>
        </is>
      </c>
      <c r="D596" s="44" t="inlineStr">
        <is>
          <t>A Pragmática Sanção</t>
        </is>
      </c>
      <c r="E596" s="44" t="inlineStr">
        <is>
          <t>A definir (Roma)</t>
        </is>
      </c>
      <c r="F596" s="45" t="inlineStr">
        <is>
          <t>Pendente</t>
        </is>
      </c>
      <c r="G596" s="45" t="n">
        <v>554</v>
      </c>
      <c r="H596" s="43" t="n">
        <v>549</v>
      </c>
      <c r="I596" s="46">
        <f>IF(H596=0,DATE(2026,10,29),IF(H596=1,DATE(2026,10,30),DATE(2026,11,2)+7*INT((H596-2)/3)+CHOOSE(MOD(H596-2,3)+1,0,2,4)))</f>
        <v/>
      </c>
    </row>
    <row r="597" ht="23.85" customHeight="1" s="24">
      <c r="A597" s="43" t="n">
        <v>596</v>
      </c>
      <c r="B597" s="44" t="inlineStr">
        <is>
          <t>Alta Idade Média: ostrogodos, bizantinos, lombardos e papas (476–1000)</t>
        </is>
      </c>
      <c r="C597" s="45" t="inlineStr">
        <is>
          <t>565</t>
        </is>
      </c>
      <c r="D597" s="44" t="inlineStr">
        <is>
          <t>A morte de Justiniano</t>
        </is>
      </c>
      <c r="E597" s="44" t="inlineStr">
        <is>
          <t>A definir (Roma)</t>
        </is>
      </c>
      <c r="F597" s="45" t="inlineStr">
        <is>
          <t>Pendente</t>
        </is>
      </c>
      <c r="G597" s="45" t="n">
        <v>565</v>
      </c>
      <c r="H597" s="43" t="n">
        <v>550</v>
      </c>
      <c r="I597" s="46">
        <f>IF(H597=0,DATE(2026,10,29),IF(H597=1,DATE(2026,10,30),DATE(2026,11,2)+7*INT((H597-2)/3)+CHOOSE(MOD(H597-2,3)+1,0,2,4)))</f>
        <v/>
      </c>
    </row>
    <row r="598" ht="23.85" customHeight="1" s="24">
      <c r="A598" s="43" t="n">
        <v>597</v>
      </c>
      <c r="B598" s="44" t="inlineStr">
        <is>
          <t>Alta Idade Média: ostrogodos, bizantinos, lombardos e papas (476–1000)</t>
        </is>
      </c>
      <c r="C598" s="45" t="inlineStr">
        <is>
          <t>568</t>
        </is>
      </c>
      <c r="D598" s="44" t="inlineStr">
        <is>
          <t>Os lombardos invadem a Itália</t>
        </is>
      </c>
      <c r="E598" s="44" t="inlineStr">
        <is>
          <t>Cividale del Friuli</t>
        </is>
      </c>
      <c r="F598" s="45" t="inlineStr">
        <is>
          <t>Pendente</t>
        </is>
      </c>
      <c r="G598" s="45" t="n">
        <v>568</v>
      </c>
      <c r="H598" s="43" t="n">
        <v>551</v>
      </c>
      <c r="I598" s="46">
        <f>IF(H598=0,DATE(2026,10,29),IF(H598=1,DATE(2026,10,30),DATE(2026,11,2)+7*INT((H598-2)/3)+CHOOSE(MOD(H598-2,3)+1,0,2,4)))</f>
        <v/>
      </c>
    </row>
    <row r="599" ht="23.85" customHeight="1" s="24">
      <c r="A599" s="43" t="n">
        <v>598</v>
      </c>
      <c r="B599" s="44" t="inlineStr">
        <is>
          <t>Alta Idade Média: ostrogodos, bizantinos, lombardos e papas (476–1000)</t>
        </is>
      </c>
      <c r="C599" s="45" t="inlineStr">
        <is>
          <t>569</t>
        </is>
      </c>
      <c r="D599" s="44" t="inlineStr">
        <is>
          <t>Pavia: a capital lombarda</t>
        </is>
      </c>
      <c r="E599" s="44" t="inlineStr">
        <is>
          <t>Pavia</t>
        </is>
      </c>
      <c r="F599" s="45" t="inlineStr">
        <is>
          <t>Pendente</t>
        </is>
      </c>
      <c r="G599" s="45" t="n">
        <v>569</v>
      </c>
      <c r="H599" s="43" t="n">
        <v>552</v>
      </c>
      <c r="I599" s="46">
        <f>IF(H599=0,DATE(2026,10,29),IF(H599=1,DATE(2026,10,30),DATE(2026,11,2)+7*INT((H599-2)/3)+CHOOSE(MOD(H599-2,3)+1,0,2,4)))</f>
        <v/>
      </c>
    </row>
    <row r="600" ht="23.85" customHeight="1" s="24">
      <c r="A600" s="43" t="n">
        <v>599</v>
      </c>
      <c r="B600" s="44" t="inlineStr">
        <is>
          <t>Alta Idade Média: ostrogodos, bizantinos, lombardos e papas (476–1000)</t>
        </is>
      </c>
      <c r="C600" s="45" t="inlineStr">
        <is>
          <t>574</t>
        </is>
      </c>
      <c r="D600" s="44" t="inlineStr">
        <is>
          <t>Os ducados lombardos</t>
        </is>
      </c>
      <c r="E600" s="44" t="inlineStr">
        <is>
          <t>Spoleto</t>
        </is>
      </c>
      <c r="F600" s="45" t="inlineStr">
        <is>
          <t>Pendente</t>
        </is>
      </c>
      <c r="G600" s="45" t="n">
        <v>574</v>
      </c>
      <c r="H600" s="43" t="n">
        <v>553</v>
      </c>
      <c r="I600" s="46">
        <f>IF(H600=0,DATE(2026,10,29),IF(H600=1,DATE(2026,10,30),DATE(2026,11,2)+7*INT((H600-2)/3)+CHOOSE(MOD(H600-2,3)+1,0,2,4)))</f>
        <v/>
      </c>
    </row>
    <row r="601" ht="23.85" customHeight="1" s="24">
      <c r="A601" s="43" t="n">
        <v>600</v>
      </c>
      <c r="B601" s="44" t="inlineStr">
        <is>
          <t>Alta Idade Média: ostrogodos, bizantinos, lombardos e papas (476–1000)</t>
        </is>
      </c>
      <c r="C601" s="45" t="inlineStr">
        <is>
          <t>584</t>
        </is>
      </c>
      <c r="D601" s="44" t="inlineStr">
        <is>
          <t>O exarcado de Ravena</t>
        </is>
      </c>
      <c r="E601" s="44" t="inlineStr">
        <is>
          <t>Ravena</t>
        </is>
      </c>
      <c r="F601" s="45" t="inlineStr">
        <is>
          <t>Pendente</t>
        </is>
      </c>
      <c r="G601" s="45" t="n">
        <v>584</v>
      </c>
      <c r="H601" s="43" t="n">
        <v>554</v>
      </c>
      <c r="I601" s="46">
        <f>IF(H601=0,DATE(2026,10,29),IF(H601=1,DATE(2026,10,30),DATE(2026,11,2)+7*INT((H601-2)/3)+CHOOSE(MOD(H601-2,3)+1,0,2,4)))</f>
        <v/>
      </c>
    </row>
    <row r="602" ht="23.85" customHeight="1" s="24">
      <c r="A602" s="43" t="n">
        <v>601</v>
      </c>
      <c r="B602" s="44" t="inlineStr">
        <is>
          <t>Alta Idade Média: ostrogodos, bizantinos, lombardos e papas (476–1000)</t>
        </is>
      </c>
      <c r="C602" s="45" t="inlineStr">
        <is>
          <t>590</t>
        </is>
      </c>
      <c r="D602" s="44" t="inlineStr">
        <is>
          <t>Gregório Magno e a peste</t>
        </is>
      </c>
      <c r="E602" s="44" t="inlineStr">
        <is>
          <t>Castel Sant'Angelo, Roma</t>
        </is>
      </c>
      <c r="F602" s="45" t="inlineStr">
        <is>
          <t>Pendente</t>
        </is>
      </c>
      <c r="G602" s="45" t="n">
        <v>590</v>
      </c>
      <c r="H602" s="43" t="n">
        <v>555</v>
      </c>
      <c r="I602" s="46">
        <f>IF(H602=0,DATE(2026,10,29),IF(H602=1,DATE(2026,10,30),DATE(2026,11,2)+7*INT((H602-2)/3)+CHOOSE(MOD(H602-2,3)+1,0,2,4)))</f>
        <v/>
      </c>
    </row>
    <row r="603" ht="23.85" customHeight="1" s="24">
      <c r="A603" s="43" t="n">
        <v>602</v>
      </c>
      <c r="B603" s="44" t="inlineStr">
        <is>
          <t>Alta Idade Média: ostrogodos, bizantinos, lombardos e papas (476–1000)</t>
        </is>
      </c>
      <c r="C603" s="45" t="inlineStr">
        <is>
          <t>593</t>
        </is>
      </c>
      <c r="D603" s="44" t="inlineStr">
        <is>
          <t>Gregório e os lombardos</t>
        </is>
      </c>
      <c r="E603" s="44" t="inlineStr">
        <is>
          <t>A definir (Roma)</t>
        </is>
      </c>
      <c r="F603" s="45" t="inlineStr">
        <is>
          <t>Pendente</t>
        </is>
      </c>
      <c r="G603" s="45" t="n">
        <v>593</v>
      </c>
      <c r="H603" s="43" t="n">
        <v>556</v>
      </c>
      <c r="I603" s="46">
        <f>IF(H603=0,DATE(2026,10,29),IF(H603=1,DATE(2026,10,30),DATE(2026,11,2)+7*INT((H603-2)/3)+CHOOSE(MOD(H603-2,3)+1,0,2,4)))</f>
        <v/>
      </c>
    </row>
    <row r="604" ht="23.85" customHeight="1" s="24">
      <c r="A604" s="43" t="n">
        <v>603</v>
      </c>
      <c r="B604" s="44" t="inlineStr">
        <is>
          <t>Alta Idade Média: ostrogodos, bizantinos, lombardos e papas (476–1000)</t>
        </is>
      </c>
      <c r="C604" s="45" t="inlineStr">
        <is>
          <t>597</t>
        </is>
      </c>
      <c r="D604" s="44" t="inlineStr">
        <is>
          <t>Gregório envia Agostinho de Cantuária</t>
        </is>
      </c>
      <c r="E604" s="44" t="inlineStr">
        <is>
          <t>A definir (Roma)</t>
        </is>
      </c>
      <c r="F604" s="45" t="inlineStr">
        <is>
          <t>Pendente</t>
        </is>
      </c>
      <c r="G604" s="45" t="n">
        <v>597</v>
      </c>
      <c r="H604" s="43" t="n">
        <v>557</v>
      </c>
      <c r="I604" s="46">
        <f>IF(H604=0,DATE(2026,10,29),IF(H604=1,DATE(2026,10,30),DATE(2026,11,2)+7*INT((H604-2)/3)+CHOOSE(MOD(H604-2,3)+1,0,2,4)))</f>
        <v/>
      </c>
    </row>
    <row r="605" ht="23.85" customHeight="1" s="24">
      <c r="A605" s="43" t="n">
        <v>604</v>
      </c>
      <c r="B605" s="44" t="inlineStr">
        <is>
          <t>Alta Idade Média: ostrogodos, bizantinos, lombardos e papas (476–1000)</t>
        </is>
      </c>
      <c r="C605" s="45" t="inlineStr">
        <is>
          <t>604</t>
        </is>
      </c>
      <c r="D605" s="44" t="inlineStr">
        <is>
          <t>A morte de Gregório Magno</t>
        </is>
      </c>
      <c r="E605" s="44" t="inlineStr">
        <is>
          <t>A definir (Roma)</t>
        </is>
      </c>
      <c r="F605" s="45" t="inlineStr">
        <is>
          <t>Pendente</t>
        </is>
      </c>
      <c r="G605" s="45" t="n">
        <v>604</v>
      </c>
      <c r="H605" s="43" t="n">
        <v>558</v>
      </c>
      <c r="I605" s="46">
        <f>IF(H605=0,DATE(2026,10,29),IF(H605=1,DATE(2026,10,30),DATE(2026,11,2)+7*INT((H605-2)/3)+CHOOSE(MOD(H605-2,3)+1,0,2,4)))</f>
        <v/>
      </c>
    </row>
    <row r="606" ht="23.85" customHeight="1" s="24">
      <c r="A606" s="43" t="n">
        <v>605</v>
      </c>
      <c r="B606" s="44" t="inlineStr">
        <is>
          <t>Alta Idade Média: ostrogodos, bizantinos, lombardos e papas (476–1000)</t>
        </is>
      </c>
      <c r="C606" s="45" t="inlineStr">
        <is>
          <t>608</t>
        </is>
      </c>
      <c r="D606" s="44" t="inlineStr">
        <is>
          <t>A Coluna de Focas</t>
        </is>
      </c>
      <c r="E606" s="44" t="inlineStr">
        <is>
          <t>Fórum Romano, Roma</t>
        </is>
      </c>
      <c r="F606" s="45" t="inlineStr">
        <is>
          <t>Pendente</t>
        </is>
      </c>
      <c r="G606" s="45" t="n">
        <v>608</v>
      </c>
      <c r="H606" s="43" t="n">
        <v>559</v>
      </c>
      <c r="I606" s="46">
        <f>IF(H606=0,DATE(2026,10,29),IF(H606=1,DATE(2026,10,30),DATE(2026,11,2)+7*INT((H606-2)/3)+CHOOSE(MOD(H606-2,3)+1,0,2,4)))</f>
        <v/>
      </c>
    </row>
    <row r="607" ht="23.85" customHeight="1" s="24">
      <c r="A607" s="43" t="n">
        <v>606</v>
      </c>
      <c r="B607" s="44" t="inlineStr">
        <is>
          <t>Alta Idade Média: ostrogodos, bizantinos, lombardos e papas (476–1000)</t>
        </is>
      </c>
      <c r="C607" s="45" t="inlineStr">
        <is>
          <t>609</t>
        </is>
      </c>
      <c r="D607" s="44" t="inlineStr">
        <is>
          <t>O Panteão vira igreja</t>
        </is>
      </c>
      <c r="E607" s="44" t="inlineStr">
        <is>
          <t>Panteão, Roma</t>
        </is>
      </c>
      <c r="F607" s="45" t="inlineStr">
        <is>
          <t>Pendente</t>
        </is>
      </c>
      <c r="G607" s="45" t="n">
        <v>609</v>
      </c>
      <c r="H607" s="43" t="n">
        <v>560</v>
      </c>
      <c r="I607" s="46">
        <f>IF(H607=0,DATE(2026,10,29),IF(H607=1,DATE(2026,10,30),DATE(2026,11,2)+7*INT((H607-2)/3)+CHOOSE(MOD(H607-2,3)+1,0,2,4)))</f>
        <v/>
      </c>
    </row>
    <row r="608" ht="23.85" customHeight="1" s="24">
      <c r="A608" s="43" t="n">
        <v>607</v>
      </c>
      <c r="B608" s="44" t="inlineStr">
        <is>
          <t>Alta Idade Média: ostrogodos, bizantinos, lombardos e papas (476–1000)</t>
        </is>
      </c>
      <c r="C608" s="45" t="inlineStr">
        <is>
          <t>625</t>
        </is>
      </c>
      <c r="D608" s="44" t="inlineStr">
        <is>
          <t>O Tempietto Longobardo</t>
        </is>
      </c>
      <c r="E608" s="44" t="inlineStr">
        <is>
          <t>Cividale del Friuli</t>
        </is>
      </c>
      <c r="F608" s="45" t="inlineStr">
        <is>
          <t>Pendente</t>
        </is>
      </c>
      <c r="G608" s="45" t="n">
        <v>625</v>
      </c>
      <c r="H608" s="43" t="n">
        <v>561</v>
      </c>
      <c r="I608" s="46">
        <f>IF(H608=0,DATE(2026,10,29),IF(H608=1,DATE(2026,10,30),DATE(2026,11,2)+7*INT((H608-2)/3)+CHOOSE(MOD(H608-2,3)+1,0,2,4)))</f>
        <v/>
      </c>
    </row>
    <row r="609" ht="23.85" customHeight="1" s="24">
      <c r="A609" s="43" t="n">
        <v>608</v>
      </c>
      <c r="B609" s="44" t="inlineStr">
        <is>
          <t>Alta Idade Média: ostrogodos, bizantinos, lombardos e papas (476–1000)</t>
        </is>
      </c>
      <c r="C609" s="45" t="inlineStr">
        <is>
          <t>643</t>
        </is>
      </c>
      <c r="D609" s="44" t="inlineStr">
        <is>
          <t>O Edito de Rotário</t>
        </is>
      </c>
      <c r="E609" s="44" t="inlineStr">
        <is>
          <t>Pavia</t>
        </is>
      </c>
      <c r="F609" s="45" t="inlineStr">
        <is>
          <t>Pendente</t>
        </is>
      </c>
      <c r="G609" s="45" t="n">
        <v>643</v>
      </c>
      <c r="H609" s="43" t="n">
        <v>562</v>
      </c>
      <c r="I609" s="46">
        <f>IF(H609=0,DATE(2026,10,29),IF(H609=1,DATE(2026,10,30),DATE(2026,11,2)+7*INT((H609-2)/3)+CHOOSE(MOD(H609-2,3)+1,0,2,4)))</f>
        <v/>
      </c>
    </row>
    <row r="610" ht="23.85" customHeight="1" s="24">
      <c r="A610" s="43" t="n">
        <v>609</v>
      </c>
      <c r="B610" s="44" t="inlineStr">
        <is>
          <t>Alta Idade Média: ostrogodos, bizantinos, lombardos e papas (476–1000)</t>
        </is>
      </c>
      <c r="C610" s="45" t="inlineStr">
        <is>
          <t>650</t>
        </is>
      </c>
      <c r="D610" s="44" t="inlineStr">
        <is>
          <t>O Tesouro de Monza e a rainha Teodolinda</t>
        </is>
      </c>
      <c r="E610" s="44" t="inlineStr">
        <is>
          <t>Duomo de Monza</t>
        </is>
      </c>
      <c r="F610" s="45" t="inlineStr">
        <is>
          <t>Pendente</t>
        </is>
      </c>
      <c r="G610" s="45" t="n">
        <v>650</v>
      </c>
      <c r="H610" s="43" t="n">
        <v>563</v>
      </c>
      <c r="I610" s="46">
        <f>IF(H610=0,DATE(2026,10,29),IF(H610=1,DATE(2026,10,30),DATE(2026,11,2)+7*INT((H610-2)/3)+CHOOSE(MOD(H610-2,3)+1,0,2,4)))</f>
        <v/>
      </c>
    </row>
    <row r="611" ht="23.85" customHeight="1" s="24">
      <c r="A611" s="43" t="n">
        <v>610</v>
      </c>
      <c r="B611" s="44" t="inlineStr">
        <is>
          <t>Alta Idade Média: ostrogodos, bizantinos, lombardos e papas (476–1000)</t>
        </is>
      </c>
      <c r="C611" s="45" t="inlineStr">
        <is>
          <t>662</t>
        </is>
      </c>
      <c r="D611" s="44" t="inlineStr">
        <is>
          <t>Constante II visita Roma</t>
        </is>
      </c>
      <c r="E611" s="44" t="inlineStr">
        <is>
          <t>A definir (Roma)</t>
        </is>
      </c>
      <c r="F611" s="45" t="inlineStr">
        <is>
          <t>Pendente</t>
        </is>
      </c>
      <c r="G611" s="45" t="n">
        <v>662</v>
      </c>
      <c r="H611" s="43" t="n">
        <v>564</v>
      </c>
      <c r="I611" s="46">
        <f>IF(H611=0,DATE(2026,10,29),IF(H611=1,DATE(2026,10,30),DATE(2026,11,2)+7*INT((H611-2)/3)+CHOOSE(MOD(H611-2,3)+1,0,2,4)))</f>
        <v/>
      </c>
    </row>
    <row r="612" ht="23.85" customHeight="1" s="24">
      <c r="A612" s="43" t="n">
        <v>611</v>
      </c>
      <c r="B612" s="44" t="inlineStr">
        <is>
          <t>Alta Idade Média: ostrogodos, bizantinos, lombardos e papas (476–1000)</t>
        </is>
      </c>
      <c r="C612" s="45" t="inlineStr">
        <is>
          <t>680</t>
        </is>
      </c>
      <c r="D612" s="44" t="inlineStr">
        <is>
          <t>A Basílica de Santa Maria Antiqua</t>
        </is>
      </c>
      <c r="E612" s="44" t="inlineStr">
        <is>
          <t>Santa Maria Antiqua, Fórum Romano, Roma</t>
        </is>
      </c>
      <c r="F612" s="45" t="inlineStr">
        <is>
          <t>Pendente</t>
        </is>
      </c>
      <c r="G612" s="45" t="n">
        <v>680</v>
      </c>
      <c r="H612" s="43" t="n">
        <v>565</v>
      </c>
      <c r="I612" s="46">
        <f>IF(H612=0,DATE(2026,10,29),IF(H612=1,DATE(2026,10,30),DATE(2026,11,2)+7*INT((H612-2)/3)+CHOOSE(MOD(H612-2,3)+1,0,2,4)))</f>
        <v/>
      </c>
    </row>
    <row r="613" ht="23.85" customHeight="1" s="24">
      <c r="A613" s="43" t="n">
        <v>612</v>
      </c>
      <c r="B613" s="44" t="inlineStr">
        <is>
          <t>Alta Idade Média: ostrogodos, bizantinos, lombardos e papas (476–1000)</t>
        </is>
      </c>
      <c r="C613" s="45" t="inlineStr">
        <is>
          <t>697</t>
        </is>
      </c>
      <c r="D613" s="44" t="inlineStr">
        <is>
          <t>Os primeiros doges de Veneza</t>
        </is>
      </c>
      <c r="E613" s="44" t="inlineStr">
        <is>
          <t>Veneza</t>
        </is>
      </c>
      <c r="F613" s="45" t="inlineStr">
        <is>
          <t>Pendente</t>
        </is>
      </c>
      <c r="G613" s="45" t="n">
        <v>697</v>
      </c>
      <c r="H613" s="43" t="n">
        <v>566</v>
      </c>
      <c r="I613" s="46">
        <f>IF(H613=0,DATE(2026,10,29),IF(H613=1,DATE(2026,10,30),DATE(2026,11,2)+7*INT((H613-2)/3)+CHOOSE(MOD(H613-2,3)+1,0,2,4)))</f>
        <v/>
      </c>
    </row>
    <row r="614" ht="23.85" customHeight="1" s="24">
      <c r="A614" s="43" t="n">
        <v>613</v>
      </c>
      <c r="B614" s="44" t="inlineStr">
        <is>
          <t>Alta Idade Média: ostrogodos, bizantinos, lombardos e papas (476–1000)</t>
        </is>
      </c>
      <c r="C614" s="45" t="inlineStr">
        <is>
          <t>712</t>
        </is>
      </c>
      <c r="D614" s="44" t="inlineStr">
        <is>
          <t>Liutprando e o apogeu lombardo</t>
        </is>
      </c>
      <c r="E614" s="44" t="inlineStr">
        <is>
          <t>Pavia</t>
        </is>
      </c>
      <c r="F614" s="45" t="inlineStr">
        <is>
          <t>Pendente</t>
        </is>
      </c>
      <c r="G614" s="45" t="n">
        <v>712</v>
      </c>
      <c r="H614" s="43" t="n">
        <v>567</v>
      </c>
      <c r="I614" s="46">
        <f>IF(H614=0,DATE(2026,10,29),IF(H614=1,DATE(2026,10,30),DATE(2026,11,2)+7*INT((H614-2)/3)+CHOOSE(MOD(H614-2,3)+1,0,2,4)))</f>
        <v/>
      </c>
    </row>
    <row r="615" ht="23.85" customHeight="1" s="24">
      <c r="A615" s="43" t="n">
        <v>614</v>
      </c>
      <c r="B615" s="44" t="inlineStr">
        <is>
          <t>Alta Idade Média: ostrogodos, bizantinos, lombardos e papas (476–1000)</t>
        </is>
      </c>
      <c r="C615" s="45" t="inlineStr">
        <is>
          <t>726</t>
        </is>
      </c>
      <c r="D615" s="44" t="inlineStr">
        <is>
          <t>A crise da iconoclastia</t>
        </is>
      </c>
      <c r="E615" s="44" t="inlineStr">
        <is>
          <t>A definir (Roma)</t>
        </is>
      </c>
      <c r="F615" s="45" t="inlineStr">
        <is>
          <t>Pendente</t>
        </is>
      </c>
      <c r="G615" s="45" t="n">
        <v>726</v>
      </c>
      <c r="H615" s="43" t="n">
        <v>568</v>
      </c>
      <c r="I615" s="46">
        <f>IF(H615=0,DATE(2026,10,29),IF(H615=1,DATE(2026,10,30),DATE(2026,11,2)+7*INT((H615-2)/3)+CHOOSE(MOD(H615-2,3)+1,0,2,4)))</f>
        <v/>
      </c>
    </row>
    <row r="616" ht="23.85" customHeight="1" s="24">
      <c r="A616" s="43" t="n">
        <v>615</v>
      </c>
      <c r="B616" s="44" t="inlineStr">
        <is>
          <t>Alta Idade Média: ostrogodos, bizantinos, lombardos e papas (476–1000)</t>
        </is>
      </c>
      <c r="C616" s="45" t="inlineStr">
        <is>
          <t>728</t>
        </is>
      </c>
      <c r="D616" s="44" t="inlineStr">
        <is>
          <t>A doação de Sutri</t>
        </is>
      </c>
      <c r="E616" s="44" t="inlineStr">
        <is>
          <t>Sutri</t>
        </is>
      </c>
      <c r="F616" s="45" t="inlineStr">
        <is>
          <t>Pendente</t>
        </is>
      </c>
      <c r="G616" s="45" t="n">
        <v>728</v>
      </c>
      <c r="H616" s="43" t="n">
        <v>569</v>
      </c>
      <c r="I616" s="46">
        <f>IF(H616=0,DATE(2026,10,29),IF(H616=1,DATE(2026,10,30),DATE(2026,11,2)+7*INT((H616-2)/3)+CHOOSE(MOD(H616-2,3)+1,0,2,4)))</f>
        <v/>
      </c>
    </row>
    <row r="617" ht="23.85" customHeight="1" s="24">
      <c r="A617" s="43" t="n">
        <v>616</v>
      </c>
      <c r="B617" s="44" t="inlineStr">
        <is>
          <t>Alta Idade Média: ostrogodos, bizantinos, lombardos e papas (476–1000)</t>
        </is>
      </c>
      <c r="C617" s="45" t="inlineStr">
        <is>
          <t>739</t>
        </is>
      </c>
      <c r="D617" s="44" t="inlineStr">
        <is>
          <t>Carlos Martel e Liutprando</t>
        </is>
      </c>
      <c r="E617" s="44" t="inlineStr">
        <is>
          <t>Pavia</t>
        </is>
      </c>
      <c r="F617" s="45" t="inlineStr">
        <is>
          <t>Pendente</t>
        </is>
      </c>
      <c r="G617" s="45" t="n">
        <v>739</v>
      </c>
      <c r="H617" s="43" t="n">
        <v>570</v>
      </c>
      <c r="I617" s="46">
        <f>IF(H617=0,DATE(2026,10,29),IF(H617=1,DATE(2026,10,30),DATE(2026,11,2)+7*INT((H617-2)/3)+CHOOSE(MOD(H617-2,3)+1,0,2,4)))</f>
        <v/>
      </c>
    </row>
    <row r="618" ht="23.85" customHeight="1" s="24">
      <c r="A618" s="43" t="n">
        <v>617</v>
      </c>
      <c r="B618" s="44" t="inlineStr">
        <is>
          <t>Alta Idade Média: ostrogodos, bizantinos, lombardos e papas (476–1000)</t>
        </is>
      </c>
      <c r="C618" s="45" t="inlineStr">
        <is>
          <t>751</t>
        </is>
      </c>
      <c r="D618" s="44" t="inlineStr">
        <is>
          <t>Astolfo toma Ravena</t>
        </is>
      </c>
      <c r="E618" s="44" t="inlineStr">
        <is>
          <t>Ravena</t>
        </is>
      </c>
      <c r="F618" s="45" t="inlineStr">
        <is>
          <t>Pendente</t>
        </is>
      </c>
      <c r="G618" s="45" t="n">
        <v>751</v>
      </c>
      <c r="H618" s="43" t="n">
        <v>571</v>
      </c>
      <c r="I618" s="46">
        <f>IF(H618=0,DATE(2026,10,29),IF(H618=1,DATE(2026,10,30),DATE(2026,11,2)+7*INT((H618-2)/3)+CHOOSE(MOD(H618-2,3)+1,0,2,4)))</f>
        <v/>
      </c>
    </row>
    <row r="619" ht="23.85" customHeight="1" s="24">
      <c r="A619" s="43" t="n">
        <v>618</v>
      </c>
      <c r="B619" s="44" t="inlineStr">
        <is>
          <t>Alta Idade Média: ostrogodos, bizantinos, lombardos e papas (476–1000)</t>
        </is>
      </c>
      <c r="C619" s="45" t="inlineStr">
        <is>
          <t>754</t>
        </is>
      </c>
      <c r="D619" s="44" t="inlineStr">
        <is>
          <t>Pepino, o Breve e o papa Estêvão II</t>
        </is>
      </c>
      <c r="E619" s="44" t="inlineStr">
        <is>
          <t>A definir (Roma)</t>
        </is>
      </c>
      <c r="F619" s="45" t="inlineStr">
        <is>
          <t>Pendente</t>
        </is>
      </c>
      <c r="G619" s="45" t="n">
        <v>754</v>
      </c>
      <c r="H619" s="43" t="n">
        <v>572</v>
      </c>
      <c r="I619" s="46">
        <f>IF(H619=0,DATE(2026,10,29),IF(H619=1,DATE(2026,10,30),DATE(2026,11,2)+7*INT((H619-2)/3)+CHOOSE(MOD(H619-2,3)+1,0,2,4)))</f>
        <v/>
      </c>
    </row>
    <row r="620" ht="23.85" customHeight="1" s="24">
      <c r="A620" s="43" t="n">
        <v>619</v>
      </c>
      <c r="B620" s="44" t="inlineStr">
        <is>
          <t>Alta Idade Média: ostrogodos, bizantinos, lombardos e papas (476–1000)</t>
        </is>
      </c>
      <c r="C620" s="45" t="inlineStr">
        <is>
          <t>756</t>
        </is>
      </c>
      <c r="D620" s="44" t="inlineStr">
        <is>
          <t>A Doação de Pepino: nascem os Estados Papais</t>
        </is>
      </c>
      <c r="E620" s="44" t="inlineStr">
        <is>
          <t>A definir (Roma)</t>
        </is>
      </c>
      <c r="F620" s="45" t="inlineStr">
        <is>
          <t>Pendente</t>
        </is>
      </c>
      <c r="G620" s="45" t="n">
        <v>756</v>
      </c>
      <c r="H620" s="43" t="n">
        <v>573</v>
      </c>
      <c r="I620" s="46">
        <f>IF(H620=0,DATE(2026,10,29),IF(H620=1,DATE(2026,10,30),DATE(2026,11,2)+7*INT((H620-2)/3)+CHOOSE(MOD(H620-2,3)+1,0,2,4)))</f>
        <v/>
      </c>
    </row>
    <row r="621" ht="23.85" customHeight="1" s="24">
      <c r="A621" s="43" t="n">
        <v>620</v>
      </c>
      <c r="B621" s="44" t="inlineStr">
        <is>
          <t>Alta Idade Média: ostrogodos, bizantinos, lombardos e papas (476–1000)</t>
        </is>
      </c>
      <c r="C621" s="45" t="inlineStr">
        <is>
          <t>772</t>
        </is>
      </c>
      <c r="D621" s="44" t="inlineStr">
        <is>
          <t>Adriano I e Desidério</t>
        </is>
      </c>
      <c r="E621" s="44" t="inlineStr">
        <is>
          <t>A definir (Roma)</t>
        </is>
      </c>
      <c r="F621" s="45" t="inlineStr">
        <is>
          <t>Pendente</t>
        </is>
      </c>
      <c r="G621" s="45" t="n">
        <v>772</v>
      </c>
      <c r="H621" s="43" t="n">
        <v>574</v>
      </c>
      <c r="I621" s="46">
        <f>IF(H621=0,DATE(2026,10,29),IF(H621=1,DATE(2026,10,30),DATE(2026,11,2)+7*INT((H621-2)/3)+CHOOSE(MOD(H621-2,3)+1,0,2,4)))</f>
        <v/>
      </c>
    </row>
    <row r="622" ht="23.85" customHeight="1" s="24">
      <c r="A622" s="43" t="n">
        <v>621</v>
      </c>
      <c r="B622" s="44" t="inlineStr">
        <is>
          <t>Alta Idade Média: ostrogodos, bizantinos, lombardos e papas (476–1000)</t>
        </is>
      </c>
      <c r="C622" s="45" t="inlineStr">
        <is>
          <t>774</t>
        </is>
      </c>
      <c r="D622" s="44" t="inlineStr">
        <is>
          <t>Carlos Magno conquista Pavia</t>
        </is>
      </c>
      <c r="E622" s="44" t="inlineStr">
        <is>
          <t>Pavia</t>
        </is>
      </c>
      <c r="F622" s="45" t="inlineStr">
        <is>
          <t>Pendente</t>
        </is>
      </c>
      <c r="G622" s="45" t="n">
        <v>774</v>
      </c>
      <c r="H622" s="43" t="n">
        <v>575</v>
      </c>
      <c r="I622" s="46">
        <f>IF(H622=0,DATE(2026,10,29),IF(H622=1,DATE(2026,10,30),DATE(2026,11,2)+7*INT((H622-2)/3)+CHOOSE(MOD(H622-2,3)+1,0,2,4)))</f>
        <v/>
      </c>
    </row>
    <row r="623" ht="23.85" customHeight="1" s="24">
      <c r="A623" s="43" t="n">
        <v>622</v>
      </c>
      <c r="B623" s="44" t="inlineStr">
        <is>
          <t>Alta Idade Média: ostrogodos, bizantinos, lombardos e papas (476–1000)</t>
        </is>
      </c>
      <c r="C623" s="45" t="inlineStr">
        <is>
          <t>781</t>
        </is>
      </c>
      <c r="D623" s="44" t="inlineStr">
        <is>
          <t>Carlos Magno em Roma</t>
        </is>
      </c>
      <c r="E623" s="44" t="inlineStr">
        <is>
          <t>A definir (Roma)</t>
        </is>
      </c>
      <c r="F623" s="45" t="inlineStr">
        <is>
          <t>Pendente</t>
        </is>
      </c>
      <c r="G623" s="45" t="n">
        <v>781</v>
      </c>
      <c r="H623" s="43" t="n">
        <v>576</v>
      </c>
      <c r="I623" s="46">
        <f>IF(H623=0,DATE(2026,10,29),IF(H623=1,DATE(2026,10,30),DATE(2026,11,2)+7*INT((H623-2)/3)+CHOOSE(MOD(H623-2,3)+1,0,2,4)))</f>
        <v/>
      </c>
    </row>
    <row r="624" ht="23.85" customHeight="1" s="24">
      <c r="A624" s="43" t="n">
        <v>623</v>
      </c>
      <c r="B624" s="44" t="inlineStr">
        <is>
          <t>Alta Idade Média: ostrogodos, bizantinos, lombardos e papas (476–1000)</t>
        </is>
      </c>
      <c r="C624" s="45" t="inlineStr">
        <is>
          <t>795</t>
        </is>
      </c>
      <c r="D624" s="44" t="inlineStr">
        <is>
          <t>Leão III e as obras em Roma</t>
        </is>
      </c>
      <c r="E624" s="44" t="inlineStr">
        <is>
          <t>A definir (Roma)</t>
        </is>
      </c>
      <c r="F624" s="45" t="inlineStr">
        <is>
          <t>Pendente</t>
        </is>
      </c>
      <c r="G624" s="45" t="n">
        <v>795</v>
      </c>
      <c r="H624" s="43" t="n">
        <v>577</v>
      </c>
      <c r="I624" s="46">
        <f>IF(H624=0,DATE(2026,10,29),IF(H624=1,DATE(2026,10,30),DATE(2026,11,2)+7*INT((H624-2)/3)+CHOOSE(MOD(H624-2,3)+1,0,2,4)))</f>
        <v/>
      </c>
    </row>
    <row r="625" ht="23.85" customHeight="1" s="24">
      <c r="A625" s="43" t="n">
        <v>624</v>
      </c>
      <c r="B625" s="44" t="inlineStr">
        <is>
          <t>Alta Idade Média: ostrogodos, bizantinos, lombardos e papas (476–1000)</t>
        </is>
      </c>
      <c r="C625" s="45" t="inlineStr">
        <is>
          <t>800</t>
        </is>
      </c>
      <c r="D625" s="44" t="inlineStr">
        <is>
          <t>Carlos Magno é coroado imperador</t>
        </is>
      </c>
      <c r="E625" s="44" t="inlineStr">
        <is>
          <t>Basílica de São Pedro, Roma</t>
        </is>
      </c>
      <c r="F625" s="45" t="inlineStr">
        <is>
          <t>Pendente</t>
        </is>
      </c>
      <c r="G625" s="45" t="n">
        <v>800</v>
      </c>
      <c r="H625" s="43" t="n">
        <v>578</v>
      </c>
      <c r="I625" s="46">
        <f>IF(H625=0,DATE(2026,10,29),IF(H625=1,DATE(2026,10,30),DATE(2026,11,2)+7*INT((H625-2)/3)+CHOOSE(MOD(H625-2,3)+1,0,2,4)))</f>
        <v/>
      </c>
    </row>
    <row r="626" ht="23.85" customHeight="1" s="24">
      <c r="A626" s="43" t="n">
        <v>625</v>
      </c>
      <c r="B626" s="44" t="inlineStr">
        <is>
          <t>Alta Idade Média: ostrogodos, bizantinos, lombardos e papas (476–1000)</t>
        </is>
      </c>
      <c r="C626" s="45" t="inlineStr">
        <is>
          <t>806</t>
        </is>
      </c>
      <c r="D626" s="44" t="inlineStr">
        <is>
          <t>Os venezianos e o Império</t>
        </is>
      </c>
      <c r="E626" s="44" t="inlineStr">
        <is>
          <t>Veneza</t>
        </is>
      </c>
      <c r="F626" s="45" t="inlineStr">
        <is>
          <t>Pendente</t>
        </is>
      </c>
      <c r="G626" s="45" t="n">
        <v>806</v>
      </c>
      <c r="H626" s="43" t="n">
        <v>579</v>
      </c>
      <c r="I626" s="46">
        <f>IF(H626=0,DATE(2026,10,29),IF(H626=1,DATE(2026,10,30),DATE(2026,11,2)+7*INT((H626-2)/3)+CHOOSE(MOD(H626-2,3)+1,0,2,4)))</f>
        <v/>
      </c>
    </row>
    <row r="627" ht="23.85" customHeight="1" s="24">
      <c r="A627" s="43" t="n">
        <v>626</v>
      </c>
      <c r="B627" s="44" t="inlineStr">
        <is>
          <t>Alta Idade Média: ostrogodos, bizantinos, lombardos e papas (476–1000)</t>
        </is>
      </c>
      <c r="C627" s="45" t="inlineStr">
        <is>
          <t>809</t>
        </is>
      </c>
      <c r="D627" s="44" t="inlineStr">
        <is>
          <t>Veneza e o Rialto</t>
        </is>
      </c>
      <c r="E627" s="44" t="inlineStr">
        <is>
          <t>Rialto, Veneza</t>
        </is>
      </c>
      <c r="F627" s="45" t="inlineStr">
        <is>
          <t>Pendente</t>
        </is>
      </c>
      <c r="G627" s="45" t="n">
        <v>809</v>
      </c>
      <c r="H627" s="43" t="n">
        <v>580</v>
      </c>
      <c r="I627" s="46">
        <f>IF(H627=0,DATE(2026,10,29),IF(H627=1,DATE(2026,10,30),DATE(2026,11,2)+7*INT((H627-2)/3)+CHOOSE(MOD(H627-2,3)+1,0,2,4)))</f>
        <v/>
      </c>
    </row>
    <row r="628" ht="23.85" customHeight="1" s="24">
      <c r="A628" s="43" t="n">
        <v>627</v>
      </c>
      <c r="B628" s="44" t="inlineStr">
        <is>
          <t>Alta Idade Média: ostrogodos, bizantinos, lombardos e papas (476–1000)</t>
        </is>
      </c>
      <c r="C628" s="45" t="inlineStr">
        <is>
          <t>817</t>
        </is>
      </c>
      <c r="D628" s="44" t="inlineStr">
        <is>
          <t>Santa Prassede e os mosaicos carolíngios</t>
        </is>
      </c>
      <c r="E628" s="44" t="inlineStr">
        <is>
          <t>Santa Prassede, Roma</t>
        </is>
      </c>
      <c r="F628" s="45" t="inlineStr">
        <is>
          <t>Pendente</t>
        </is>
      </c>
      <c r="G628" s="45" t="n">
        <v>817</v>
      </c>
      <c r="H628" s="43" t="n">
        <v>581</v>
      </c>
      <c r="I628" s="46">
        <f>IF(H628=0,DATE(2026,10,29),IF(H628=1,DATE(2026,10,30),DATE(2026,11,2)+7*INT((H628-2)/3)+CHOOSE(MOD(H628-2,3)+1,0,2,4)))</f>
        <v/>
      </c>
    </row>
    <row r="629" ht="23.85" customHeight="1" s="24">
      <c r="A629" s="43" t="n">
        <v>628</v>
      </c>
      <c r="B629" s="44" t="inlineStr">
        <is>
          <t>Alta Idade Média: ostrogodos, bizantinos, lombardos e papas (476–1000)</t>
        </is>
      </c>
      <c r="C629" s="45" t="inlineStr">
        <is>
          <t>820</t>
        </is>
      </c>
      <c r="D629" s="44" t="inlineStr">
        <is>
          <t>Sant'Ambrogio de Milão</t>
        </is>
      </c>
      <c r="E629" s="44" t="inlineStr">
        <is>
          <t>Sant'Ambrogio, Milão</t>
        </is>
      </c>
      <c r="F629" s="45" t="inlineStr">
        <is>
          <t>Pendente</t>
        </is>
      </c>
      <c r="G629" s="45" t="n">
        <v>820</v>
      </c>
      <c r="H629" s="43" t="n">
        <v>582</v>
      </c>
      <c r="I629" s="46">
        <f>IF(H629=0,DATE(2026,10,29),IF(H629=1,DATE(2026,10,30),DATE(2026,11,2)+7*INT((H629-2)/3)+CHOOSE(MOD(H629-2,3)+1,0,2,4)))</f>
        <v/>
      </c>
    </row>
    <row r="630" ht="23.85" customHeight="1" s="24">
      <c r="A630" s="43" t="n">
        <v>629</v>
      </c>
      <c r="B630" s="44" t="inlineStr">
        <is>
          <t>Alta Idade Média: ostrogodos, bizantinos, lombardos e papas (476–1000)</t>
        </is>
      </c>
      <c r="C630" s="45" t="inlineStr">
        <is>
          <t>827</t>
        </is>
      </c>
      <c r="D630" s="44" t="inlineStr">
        <is>
          <t>Os árabes na Sicília</t>
        </is>
      </c>
      <c r="E630" s="44" t="inlineStr">
        <is>
          <t>Palermo</t>
        </is>
      </c>
      <c r="F630" s="45" t="inlineStr">
        <is>
          <t>Pendente</t>
        </is>
      </c>
      <c r="G630" s="45" t="n">
        <v>827</v>
      </c>
      <c r="H630" s="43" t="n">
        <v>583</v>
      </c>
      <c r="I630" s="46">
        <f>IF(H630=0,DATE(2026,10,29),IF(H630=1,DATE(2026,10,30),DATE(2026,11,2)+7*INT((H630-2)/3)+CHOOSE(MOD(H630-2,3)+1,0,2,4)))</f>
        <v/>
      </c>
    </row>
    <row r="631" ht="23.85" customHeight="1" s="24">
      <c r="A631" s="43" t="n">
        <v>630</v>
      </c>
      <c r="B631" s="44" t="inlineStr">
        <is>
          <t>Alta Idade Média: ostrogodos, bizantinos, lombardos e papas (476–1000)</t>
        </is>
      </c>
      <c r="C631" s="45" t="inlineStr">
        <is>
          <t>829</t>
        </is>
      </c>
      <c r="D631" s="44" t="inlineStr">
        <is>
          <t>Os árabes conquistam Palermo</t>
        </is>
      </c>
      <c r="E631" s="44" t="inlineStr">
        <is>
          <t>Palermo</t>
        </is>
      </c>
      <c r="F631" s="45" t="inlineStr">
        <is>
          <t>Pendente</t>
        </is>
      </c>
      <c r="G631" s="45" t="n">
        <v>829</v>
      </c>
      <c r="H631" s="43" t="n">
        <v>584</v>
      </c>
      <c r="I631" s="46">
        <f>IF(H631=0,DATE(2026,10,29),IF(H631=1,DATE(2026,10,30),DATE(2026,11,2)+7*INT((H631-2)/3)+CHOOSE(MOD(H631-2,3)+1,0,2,4)))</f>
        <v/>
      </c>
    </row>
    <row r="632" ht="23.85" customHeight="1" s="24">
      <c r="A632" s="43" t="n">
        <v>631</v>
      </c>
      <c r="B632" s="44" t="inlineStr">
        <is>
          <t>Alta Idade Média: ostrogodos, bizantinos, lombardos e papas (476–1000)</t>
        </is>
      </c>
      <c r="C632" s="45" t="inlineStr">
        <is>
          <t>836</t>
        </is>
      </c>
      <c r="D632" s="44" t="inlineStr">
        <is>
          <t>Amalfi: a república marítima</t>
        </is>
      </c>
      <c r="E632" s="44" t="inlineStr">
        <is>
          <t>Amalfi</t>
        </is>
      </c>
      <c r="F632" s="45" t="inlineStr">
        <is>
          <t>Pendente</t>
        </is>
      </c>
      <c r="G632" s="45" t="n">
        <v>836</v>
      </c>
      <c r="H632" s="43" t="n">
        <v>585</v>
      </c>
      <c r="I632" s="46">
        <f>IF(H632=0,DATE(2026,10,29),IF(H632=1,DATE(2026,10,30),DATE(2026,11,2)+7*INT((H632-2)/3)+CHOOSE(MOD(H632-2,3)+1,0,2,4)))</f>
        <v/>
      </c>
    </row>
    <row r="633" ht="23.85" customHeight="1" s="24">
      <c r="A633" s="43" t="n">
        <v>632</v>
      </c>
      <c r="B633" s="44" t="inlineStr">
        <is>
          <t>Alta Idade Média: ostrogodos, bizantinos, lombardos e papas (476–1000)</t>
        </is>
      </c>
      <c r="C633" s="45" t="inlineStr">
        <is>
          <t>840</t>
        </is>
      </c>
      <c r="D633" s="44" t="inlineStr">
        <is>
          <t>Bari: o emirado de Bari</t>
        </is>
      </c>
      <c r="E633" s="44" t="inlineStr">
        <is>
          <t>Bari</t>
        </is>
      </c>
      <c r="F633" s="45" t="inlineStr">
        <is>
          <t>Pendente</t>
        </is>
      </c>
      <c r="G633" s="45" t="n">
        <v>840</v>
      </c>
      <c r="H633" s="43" t="n">
        <v>586</v>
      </c>
      <c r="I633" s="46">
        <f>IF(H633=0,DATE(2026,10,29),IF(H633=1,DATE(2026,10,30),DATE(2026,11,2)+7*INT((H633-2)/3)+CHOOSE(MOD(H633-2,3)+1,0,2,4)))</f>
        <v/>
      </c>
    </row>
    <row r="634" ht="23.85" customHeight="1" s="24">
      <c r="A634" s="43" t="n">
        <v>633</v>
      </c>
      <c r="B634" s="44" t="inlineStr">
        <is>
          <t>Alta Idade Média: ostrogodos, bizantinos, lombardos e papas (476–1000)</t>
        </is>
      </c>
      <c r="C634" s="45" t="inlineStr">
        <is>
          <t>846</t>
        </is>
      </c>
      <c r="D634" s="44" t="inlineStr">
        <is>
          <t>O saque árabe de Roma</t>
        </is>
      </c>
      <c r="E634" s="44" t="inlineStr">
        <is>
          <t>Basílica de São Pedro, Roma</t>
        </is>
      </c>
      <c r="F634" s="45" t="inlineStr">
        <is>
          <t>Pendente</t>
        </is>
      </c>
      <c r="G634" s="45" t="n">
        <v>846</v>
      </c>
      <c r="H634" s="43" t="n">
        <v>587</v>
      </c>
      <c r="I634" s="46">
        <f>IF(H634=0,DATE(2026,10,29),IF(H634=1,DATE(2026,10,30),DATE(2026,11,2)+7*INT((H634-2)/3)+CHOOSE(MOD(H634-2,3)+1,0,2,4)))</f>
        <v/>
      </c>
    </row>
    <row r="635" ht="23.85" customHeight="1" s="24">
      <c r="A635" s="43" t="n">
        <v>634</v>
      </c>
      <c r="B635" s="44" t="inlineStr">
        <is>
          <t>Alta Idade Média: ostrogodos, bizantinos, lombardos e papas (476–1000)</t>
        </is>
      </c>
      <c r="C635" s="45" t="inlineStr">
        <is>
          <t>848</t>
        </is>
      </c>
      <c r="D635" s="44" t="inlineStr">
        <is>
          <t>A Batalha de Ostia</t>
        </is>
      </c>
      <c r="E635" s="44" t="inlineStr">
        <is>
          <t>A definir (Roma)</t>
        </is>
      </c>
      <c r="F635" s="45" t="inlineStr">
        <is>
          <t>Pendente</t>
        </is>
      </c>
      <c r="G635" s="45" t="n">
        <v>848</v>
      </c>
      <c r="H635" s="43" t="n">
        <v>588</v>
      </c>
      <c r="I635" s="46">
        <f>IF(H635=0,DATE(2026,10,29),IF(H635=1,DATE(2026,10,30),DATE(2026,11,2)+7*INT((H635-2)/3)+CHOOSE(MOD(H635-2,3)+1,0,2,4)))</f>
        <v/>
      </c>
    </row>
    <row r="636" ht="23.85" customHeight="1" s="24">
      <c r="A636" s="43" t="n">
        <v>635</v>
      </c>
      <c r="B636" s="44" t="inlineStr">
        <is>
          <t>Alta Idade Média: ostrogodos, bizantinos, lombardos e papas (476–1000)</t>
        </is>
      </c>
      <c r="C636" s="45" t="inlineStr">
        <is>
          <t>849</t>
        </is>
      </c>
      <c r="D636" s="44" t="inlineStr">
        <is>
          <t>A Muralha Leonina</t>
        </is>
      </c>
      <c r="E636" s="44" t="inlineStr">
        <is>
          <t>Passetto di Borgo, Roma</t>
        </is>
      </c>
      <c r="F636" s="45" t="inlineStr">
        <is>
          <t>Pendente</t>
        </is>
      </c>
      <c r="G636" s="45" t="n">
        <v>849</v>
      </c>
      <c r="H636" s="43" t="n">
        <v>589</v>
      </c>
      <c r="I636" s="46">
        <f>IF(H636=0,DATE(2026,10,29),IF(H636=1,DATE(2026,10,30),DATE(2026,11,2)+7*INT((H636-2)/3)+CHOOSE(MOD(H636-2,3)+1,0,2,4)))</f>
        <v/>
      </c>
    </row>
    <row r="637" ht="23.85" customHeight="1" s="24">
      <c r="A637" s="43" t="n">
        <v>636</v>
      </c>
      <c r="B637" s="44" t="inlineStr">
        <is>
          <t>Alta Idade Média: ostrogodos, bizantinos, lombardos e papas (476–1000)</t>
        </is>
      </c>
      <c r="C637" s="45" t="inlineStr">
        <is>
          <t>858</t>
        </is>
      </c>
      <c r="D637" s="44" t="inlineStr">
        <is>
          <t>Nicolau I e a autoridade papal</t>
        </is>
      </c>
      <c r="E637" s="44" t="inlineStr">
        <is>
          <t>A definir (Roma)</t>
        </is>
      </c>
      <c r="F637" s="45" t="inlineStr">
        <is>
          <t>Pendente</t>
        </is>
      </c>
      <c r="G637" s="45" t="n">
        <v>858</v>
      </c>
      <c r="H637" s="43" t="n">
        <v>590</v>
      </c>
      <c r="I637" s="46">
        <f>IF(H637=0,DATE(2026,10,29),IF(H637=1,DATE(2026,10,30),DATE(2026,11,2)+7*INT((H637-2)/3)+CHOOSE(MOD(H637-2,3)+1,0,2,4)))</f>
        <v/>
      </c>
    </row>
    <row r="638" ht="23.85" customHeight="1" s="24">
      <c r="A638" s="43" t="n">
        <v>637</v>
      </c>
      <c r="B638" s="44" t="inlineStr">
        <is>
          <t>Alta Idade Média: ostrogodos, bizantinos, lombardos e papas (476–1000)</t>
        </is>
      </c>
      <c r="C638" s="45" t="inlineStr">
        <is>
          <t>870</t>
        </is>
      </c>
      <c r="D638" s="44" t="inlineStr">
        <is>
          <t>A queda de Bari</t>
        </is>
      </c>
      <c r="E638" s="44" t="inlineStr">
        <is>
          <t>Bari</t>
        </is>
      </c>
      <c r="F638" s="45" t="inlineStr">
        <is>
          <t>Pendente</t>
        </is>
      </c>
      <c r="G638" s="45" t="n">
        <v>870</v>
      </c>
      <c r="H638" s="43" t="n">
        <v>591</v>
      </c>
      <c r="I638" s="46">
        <f>IF(H638=0,DATE(2026,10,29),IF(H638=1,DATE(2026,10,30),DATE(2026,11,2)+7*INT((H638-2)/3)+CHOOSE(MOD(H638-2,3)+1,0,2,4)))</f>
        <v/>
      </c>
    </row>
    <row r="639" ht="23.85" customHeight="1" s="24">
      <c r="A639" s="43" t="n">
        <v>638</v>
      </c>
      <c r="B639" s="44" t="inlineStr">
        <is>
          <t>Alta Idade Média: ostrogodos, bizantinos, lombardos e papas (476–1000)</t>
        </is>
      </c>
      <c r="C639" s="45" t="inlineStr">
        <is>
          <t>875</t>
        </is>
      </c>
      <c r="D639" s="44" t="inlineStr">
        <is>
          <t>Carlos, o Calvo e a Itália</t>
        </is>
      </c>
      <c r="E639" s="44" t="inlineStr">
        <is>
          <t>A definir (Roma)</t>
        </is>
      </c>
      <c r="F639" s="45" t="inlineStr">
        <is>
          <t>Pendente</t>
        </is>
      </c>
      <c r="G639" s="45" t="n">
        <v>875</v>
      </c>
      <c r="H639" s="43" t="n">
        <v>592</v>
      </c>
      <c r="I639" s="46">
        <f>IF(H639=0,DATE(2026,10,29),IF(H639=1,DATE(2026,10,30),DATE(2026,11,2)+7*INT((H639-2)/3)+CHOOSE(MOD(H639-2,3)+1,0,2,4)))</f>
        <v/>
      </c>
    </row>
    <row r="640" ht="23.85" customHeight="1" s="24">
      <c r="A640" s="43" t="n">
        <v>639</v>
      </c>
      <c r="B640" s="44" t="inlineStr">
        <is>
          <t>Alta Idade Média: ostrogodos, bizantinos, lombardos e papas (476–1000)</t>
        </is>
      </c>
      <c r="C640" s="45" t="inlineStr">
        <is>
          <t>880</t>
        </is>
      </c>
      <c r="D640" s="44" t="inlineStr">
        <is>
          <t>Sicília: a queda de Siracusa</t>
        </is>
      </c>
      <c r="E640" s="44" t="inlineStr">
        <is>
          <t>Siracusa</t>
        </is>
      </c>
      <c r="F640" s="45" t="inlineStr">
        <is>
          <t>Pendente</t>
        </is>
      </c>
      <c r="G640" s="45" t="n">
        <v>880</v>
      </c>
      <c r="H640" s="43" t="n">
        <v>593</v>
      </c>
      <c r="I640" s="46">
        <f>IF(H640=0,DATE(2026,10,29),IF(H640=1,DATE(2026,10,30),DATE(2026,11,2)+7*INT((H640-2)/3)+CHOOSE(MOD(H640-2,3)+1,0,2,4)))</f>
        <v/>
      </c>
    </row>
    <row r="641" ht="23.85" customHeight="1" s="24">
      <c r="A641" s="43" t="n">
        <v>640</v>
      </c>
      <c r="B641" s="44" t="inlineStr">
        <is>
          <t>Alta Idade Média: ostrogodos, bizantinos, lombardos e papas (476–1000)</t>
        </is>
      </c>
      <c r="C641" s="45" t="inlineStr">
        <is>
          <t>882</t>
        </is>
      </c>
      <c r="D641" s="44" t="inlineStr">
        <is>
          <t>Os árabes em Garigliano</t>
        </is>
      </c>
      <c r="E641" s="44" t="inlineStr">
        <is>
          <t>Garigliano</t>
        </is>
      </c>
      <c r="F641" s="45" t="inlineStr">
        <is>
          <t>Pendente</t>
        </is>
      </c>
      <c r="G641" s="45" t="n">
        <v>882</v>
      </c>
      <c r="H641" s="43" t="n">
        <v>594</v>
      </c>
      <c r="I641" s="46">
        <f>IF(H641=0,DATE(2026,10,29),IF(H641=1,DATE(2026,10,30),DATE(2026,11,2)+7*INT((H641-2)/3)+CHOOSE(MOD(H641-2,3)+1,0,2,4)))</f>
        <v/>
      </c>
    </row>
    <row r="642" ht="23.85" customHeight="1" s="24">
      <c r="A642" s="43" t="n">
        <v>641</v>
      </c>
      <c r="B642" s="44" t="inlineStr">
        <is>
          <t>Alta Idade Média: ostrogodos, bizantinos, lombardos e papas (476–1000)</t>
        </is>
      </c>
      <c r="C642" s="45" t="inlineStr">
        <is>
          <t>897</t>
        </is>
      </c>
      <c r="D642" s="44" t="inlineStr">
        <is>
          <t>O Sínodo do Cadáver</t>
        </is>
      </c>
      <c r="E642" s="44" t="inlineStr">
        <is>
          <t>São João de Latrão, Roma</t>
        </is>
      </c>
      <c r="F642" s="45" t="inlineStr">
        <is>
          <t>Pendente</t>
        </is>
      </c>
      <c r="G642" s="45" t="n">
        <v>897</v>
      </c>
      <c r="H642" s="43" t="n">
        <v>595</v>
      </c>
      <c r="I642" s="46">
        <f>IF(H642=0,DATE(2026,10,29),IF(H642=1,DATE(2026,10,30),DATE(2026,11,2)+7*INT((H642-2)/3)+CHOOSE(MOD(H642-2,3)+1,0,2,4)))</f>
        <v/>
      </c>
    </row>
    <row r="643" ht="23.85" customHeight="1" s="24">
      <c r="A643" s="43" t="n">
        <v>642</v>
      </c>
      <c r="B643" s="44" t="inlineStr">
        <is>
          <t>Alta Idade Média: ostrogodos, bizantinos, lombardos e papas (476–1000)</t>
        </is>
      </c>
      <c r="C643" s="45" t="inlineStr">
        <is>
          <t>904</t>
        </is>
      </c>
      <c r="D643" s="44" t="inlineStr">
        <is>
          <t>Teofilato e a Pornocracia</t>
        </is>
      </c>
      <c r="E643" s="44" t="inlineStr">
        <is>
          <t>Castel Sant'Angelo, Roma</t>
        </is>
      </c>
      <c r="F643" s="45" t="inlineStr">
        <is>
          <t>Pendente</t>
        </is>
      </c>
      <c r="G643" s="45" t="n">
        <v>904</v>
      </c>
      <c r="H643" s="43" t="n">
        <v>596</v>
      </c>
      <c r="I643" s="46">
        <f>IF(H643=0,DATE(2026,10,29),IF(H643=1,DATE(2026,10,30),DATE(2026,11,2)+7*INT((H643-2)/3)+CHOOSE(MOD(H643-2,3)+1,0,2,4)))</f>
        <v/>
      </c>
    </row>
    <row r="644" ht="23.85" customHeight="1" s="24">
      <c r="A644" s="43" t="n">
        <v>643</v>
      </c>
      <c r="B644" s="44" t="inlineStr">
        <is>
          <t>Alta Idade Média: ostrogodos, bizantinos, lombardos e papas (476–1000)</t>
        </is>
      </c>
      <c r="C644" s="45" t="inlineStr">
        <is>
          <t>915</t>
        </is>
      </c>
      <c r="D644" s="44" t="inlineStr">
        <is>
          <t>A batalha do Garigliano</t>
        </is>
      </c>
      <c r="E644" s="44" t="inlineStr">
        <is>
          <t>Garigliano</t>
        </is>
      </c>
      <c r="F644" s="45" t="inlineStr">
        <is>
          <t>Pendente</t>
        </is>
      </c>
      <c r="G644" s="45" t="n">
        <v>915</v>
      </c>
      <c r="H644" s="43" t="n">
        <v>597</v>
      </c>
      <c r="I644" s="46">
        <f>IF(H644=0,DATE(2026,10,29),IF(H644=1,DATE(2026,10,30),DATE(2026,11,2)+7*INT((H644-2)/3)+CHOOSE(MOD(H644-2,3)+1,0,2,4)))</f>
        <v/>
      </c>
    </row>
    <row r="645" ht="23.85" customHeight="1" s="24">
      <c r="A645" s="43" t="n">
        <v>644</v>
      </c>
      <c r="B645" s="44" t="inlineStr">
        <is>
          <t>Alta Idade Média: ostrogodos, bizantinos, lombardos e papas (476–1000)</t>
        </is>
      </c>
      <c r="C645" s="45" t="inlineStr">
        <is>
          <t>932</t>
        </is>
      </c>
      <c r="D645" s="44" t="inlineStr">
        <is>
          <t>Alberico e o domínio de Roma</t>
        </is>
      </c>
      <c r="E645" s="44" t="inlineStr">
        <is>
          <t>Castel Sant'Angelo, Roma</t>
        </is>
      </c>
      <c r="F645" s="45" t="inlineStr">
        <is>
          <t>Pendente</t>
        </is>
      </c>
      <c r="G645" s="45" t="n">
        <v>932</v>
      </c>
      <c r="H645" s="43" t="n">
        <v>598</v>
      </c>
      <c r="I645" s="46">
        <f>IF(H645=0,DATE(2026,10,29),IF(H645=1,DATE(2026,10,30),DATE(2026,11,2)+7*INT((H645-2)/3)+CHOOSE(MOD(H645-2,3)+1,0,2,4)))</f>
        <v/>
      </c>
    </row>
    <row r="646" ht="23.85" customHeight="1" s="24">
      <c r="A646" s="43" t="n">
        <v>645</v>
      </c>
      <c r="B646" s="44" t="inlineStr">
        <is>
          <t>Alta Idade Média: ostrogodos, bizantinos, lombardos e papas (476–1000)</t>
        </is>
      </c>
      <c r="C646" s="45" t="inlineStr">
        <is>
          <t>951</t>
        </is>
      </c>
      <c r="D646" s="44" t="inlineStr">
        <is>
          <t>Oto I desce à Itália</t>
        </is>
      </c>
      <c r="E646" s="44" t="inlineStr">
        <is>
          <t>Pavia</t>
        </is>
      </c>
      <c r="F646" s="45" t="inlineStr">
        <is>
          <t>Pendente</t>
        </is>
      </c>
      <c r="G646" s="45" t="n">
        <v>951</v>
      </c>
      <c r="H646" s="43" t="n">
        <v>599</v>
      </c>
      <c r="I646" s="46">
        <f>IF(H646=0,DATE(2026,10,29),IF(H646=1,DATE(2026,10,30),DATE(2026,11,2)+7*INT((H646-2)/3)+CHOOSE(MOD(H646-2,3)+1,0,2,4)))</f>
        <v/>
      </c>
    </row>
    <row r="647" ht="23.85" customHeight="1" s="24">
      <c r="A647" s="43" t="n">
        <v>646</v>
      </c>
      <c r="B647" s="44" t="inlineStr">
        <is>
          <t>Alta Idade Média: ostrogodos, bizantinos, lombardos e papas (476–1000)</t>
        </is>
      </c>
      <c r="C647" s="45" t="inlineStr">
        <is>
          <t>955</t>
        </is>
      </c>
      <c r="D647" s="44" t="inlineStr">
        <is>
          <t>A batalha de Lechfeld e os húngaros</t>
        </is>
      </c>
      <c r="E647" s="44" t="inlineStr">
        <is>
          <t>A definir (Roma)</t>
        </is>
      </c>
      <c r="F647" s="45" t="inlineStr">
        <is>
          <t>Pendente</t>
        </is>
      </c>
      <c r="G647" s="45" t="n">
        <v>955</v>
      </c>
      <c r="H647" s="43" t="n">
        <v>600</v>
      </c>
      <c r="I647" s="46">
        <f>IF(H647=0,DATE(2026,10,29),IF(H647=1,DATE(2026,10,30),DATE(2026,11,2)+7*INT((H647-2)/3)+CHOOSE(MOD(H647-2,3)+1,0,2,4)))</f>
        <v/>
      </c>
    </row>
    <row r="648" ht="23.85" customHeight="1" s="24">
      <c r="A648" s="43" t="n">
        <v>647</v>
      </c>
      <c r="B648" s="44" t="inlineStr">
        <is>
          <t>Alta Idade Média: ostrogodos, bizantinos, lombardos e papas (476–1000)</t>
        </is>
      </c>
      <c r="C648" s="45" t="inlineStr">
        <is>
          <t>962</t>
        </is>
      </c>
      <c r="D648" s="44" t="inlineStr">
        <is>
          <t>Oto I é coroado imperador</t>
        </is>
      </c>
      <c r="E648" s="44" t="inlineStr">
        <is>
          <t>Basílica de São Pedro, Roma</t>
        </is>
      </c>
      <c r="F648" s="45" t="inlineStr">
        <is>
          <t>Pendente</t>
        </is>
      </c>
      <c r="G648" s="45" t="n">
        <v>962</v>
      </c>
      <c r="H648" s="43" t="n">
        <v>601</v>
      </c>
      <c r="I648" s="46">
        <f>IF(H648=0,DATE(2026,10,29),IF(H648=1,DATE(2026,10,30),DATE(2026,11,2)+7*INT((H648-2)/3)+CHOOSE(MOD(H648-2,3)+1,0,2,4)))</f>
        <v/>
      </c>
    </row>
    <row r="649" ht="23.85" customHeight="1" s="24">
      <c r="A649" s="43" t="n">
        <v>648</v>
      </c>
      <c r="B649" s="44" t="inlineStr">
        <is>
          <t>Alta Idade Média: ostrogodos, bizantinos, lombardos e papas (476–1000)</t>
        </is>
      </c>
      <c r="C649" s="45" t="inlineStr">
        <is>
          <t>964</t>
        </is>
      </c>
      <c r="D649" s="44" t="inlineStr">
        <is>
          <t>A deposição do papa João XII</t>
        </is>
      </c>
      <c r="E649" s="44" t="inlineStr">
        <is>
          <t>A definir (Roma)</t>
        </is>
      </c>
      <c r="F649" s="45" t="inlineStr">
        <is>
          <t>Pendente</t>
        </is>
      </c>
      <c r="G649" s="45" t="n">
        <v>964</v>
      </c>
      <c r="H649" s="43" t="n">
        <v>602</v>
      </c>
      <c r="I649" s="46">
        <f>IF(H649=0,DATE(2026,10,29),IF(H649=1,DATE(2026,10,30),DATE(2026,11,2)+7*INT((H649-2)/3)+CHOOSE(MOD(H649-2,3)+1,0,2,4)))</f>
        <v/>
      </c>
    </row>
    <row r="650" ht="23.85" customHeight="1" s="24">
      <c r="A650" s="43" t="n">
        <v>649</v>
      </c>
      <c r="B650" s="44" t="inlineStr">
        <is>
          <t>Alta Idade Média: ostrogodos, bizantinos, lombardos e papas (476–1000)</t>
        </is>
      </c>
      <c r="C650" s="45" t="inlineStr">
        <is>
          <t>972</t>
        </is>
      </c>
      <c r="D650" s="44" t="inlineStr">
        <is>
          <t>Teófano em Roma</t>
        </is>
      </c>
      <c r="E650" s="44" t="inlineStr">
        <is>
          <t>A definir (Roma)</t>
        </is>
      </c>
      <c r="F650" s="45" t="inlineStr">
        <is>
          <t>Pendente</t>
        </is>
      </c>
      <c r="G650" s="45" t="n">
        <v>972</v>
      </c>
      <c r="H650" s="43" t="n">
        <v>603</v>
      </c>
      <c r="I650" s="46">
        <f>IF(H650=0,DATE(2026,10,29),IF(H650=1,DATE(2026,10,30),DATE(2026,11,2)+7*INT((H650-2)/3)+CHOOSE(MOD(H650-2,3)+1,0,2,4)))</f>
        <v/>
      </c>
    </row>
    <row r="651" ht="23.85" customHeight="1" s="24">
      <c r="A651" s="43" t="n">
        <v>650</v>
      </c>
      <c r="B651" s="44" t="inlineStr">
        <is>
          <t>Alta Idade Média: ostrogodos, bizantinos, lombardos e papas (476–1000)</t>
        </is>
      </c>
      <c r="C651" s="45" t="inlineStr">
        <is>
          <t>980</t>
        </is>
      </c>
      <c r="D651" s="44" t="inlineStr">
        <is>
          <t>A Basílica de São Bartolomeu</t>
        </is>
      </c>
      <c r="E651" s="44" t="inlineStr">
        <is>
          <t>Ilha Tiberina, Roma</t>
        </is>
      </c>
      <c r="F651" s="45" t="inlineStr">
        <is>
          <t>Pendente</t>
        </is>
      </c>
      <c r="G651" s="45" t="n">
        <v>980</v>
      </c>
      <c r="H651" s="43" t="n">
        <v>604</v>
      </c>
      <c r="I651" s="46">
        <f>IF(H651=0,DATE(2026,10,29),IF(H651=1,DATE(2026,10,30),DATE(2026,11,2)+7*INT((H651-2)/3)+CHOOSE(MOD(H651-2,3)+1,0,2,4)))</f>
        <v/>
      </c>
    </row>
    <row r="652" ht="23.85" customHeight="1" s="24">
      <c r="A652" s="43" t="n">
        <v>651</v>
      </c>
      <c r="B652" s="44" t="inlineStr">
        <is>
          <t>Alta Idade Média: ostrogodos, bizantinos, lombardos e papas (476–1000)</t>
        </is>
      </c>
      <c r="C652" s="45" t="inlineStr">
        <is>
          <t>982</t>
        </is>
      </c>
      <c r="D652" s="44" t="inlineStr">
        <is>
          <t>A derrota de Oto II na Calábria</t>
        </is>
      </c>
      <c r="E652" s="44" t="inlineStr">
        <is>
          <t>Calábria</t>
        </is>
      </c>
      <c r="F652" s="45" t="inlineStr">
        <is>
          <t>Pendente</t>
        </is>
      </c>
      <c r="G652" s="45" t="n">
        <v>982</v>
      </c>
      <c r="H652" s="43" t="n">
        <v>605</v>
      </c>
      <c r="I652" s="46">
        <f>IF(H652=0,DATE(2026,10,29),IF(H652=1,DATE(2026,10,30),DATE(2026,11,2)+7*INT((H652-2)/3)+CHOOSE(MOD(H652-2,3)+1,0,2,4)))</f>
        <v/>
      </c>
    </row>
    <row r="653" ht="23.85" customHeight="1" s="24">
      <c r="A653" s="43" t="n">
        <v>652</v>
      </c>
      <c r="B653" s="44" t="inlineStr">
        <is>
          <t>Alta Idade Média: ostrogodos, bizantinos, lombardos e papas (476–1000)</t>
        </is>
      </c>
      <c r="C653" s="45" t="inlineStr">
        <is>
          <t>990</t>
        </is>
      </c>
      <c r="D653" s="44" t="inlineStr">
        <is>
          <t>Os Crescêncios</t>
        </is>
      </c>
      <c r="E653" s="44" t="inlineStr">
        <is>
          <t>Castel Sant'Angelo, Roma</t>
        </is>
      </c>
      <c r="F653" s="45" t="inlineStr">
        <is>
          <t>Pendente</t>
        </is>
      </c>
      <c r="G653" s="45" t="n">
        <v>990</v>
      </c>
      <c r="H653" s="43" t="n">
        <v>606</v>
      </c>
      <c r="I653" s="46">
        <f>IF(H653=0,DATE(2026,10,29),IF(H653=1,DATE(2026,10,30),DATE(2026,11,2)+7*INT((H653-2)/3)+CHOOSE(MOD(H653-2,3)+1,0,2,4)))</f>
        <v/>
      </c>
    </row>
    <row r="654" ht="23.85" customHeight="1" s="24">
      <c r="A654" s="43" t="n">
        <v>653</v>
      </c>
      <c r="B654" s="44" t="inlineStr">
        <is>
          <t>Alta Idade Média: ostrogodos, bizantinos, lombardos e papas (476–1000)</t>
        </is>
      </c>
      <c r="C654" s="45" t="inlineStr">
        <is>
          <t>996</t>
        </is>
      </c>
      <c r="D654" s="44" t="inlineStr">
        <is>
          <t>Oto III e o papa Gregório V</t>
        </is>
      </c>
      <c r="E654" s="44" t="inlineStr">
        <is>
          <t>A definir (Roma)</t>
        </is>
      </c>
      <c r="F654" s="45" t="inlineStr">
        <is>
          <t>Pendente</t>
        </is>
      </c>
      <c r="G654" s="45" t="n">
        <v>996</v>
      </c>
      <c r="H654" s="43" t="n">
        <v>607</v>
      </c>
      <c r="I654" s="46">
        <f>IF(H654=0,DATE(2026,10,29),IF(H654=1,DATE(2026,10,30),DATE(2026,11,2)+7*INT((H654-2)/3)+CHOOSE(MOD(H654-2,3)+1,0,2,4)))</f>
        <v/>
      </c>
    </row>
    <row r="655" ht="23.85" customHeight="1" s="24">
      <c r="A655" s="43" t="n">
        <v>654</v>
      </c>
      <c r="B655" s="44" t="inlineStr">
        <is>
          <t>Alta Idade Média: ostrogodos, bizantinos, lombardos e papas (476–1000)</t>
        </is>
      </c>
      <c r="C655" s="45" t="inlineStr">
        <is>
          <t>999</t>
        </is>
      </c>
      <c r="D655" s="44" t="inlineStr">
        <is>
          <t>Silvestre II e o ano mil</t>
        </is>
      </c>
      <c r="E655" s="44" t="inlineStr">
        <is>
          <t>A definir (Roma)</t>
        </is>
      </c>
      <c r="F655" s="45" t="inlineStr">
        <is>
          <t>Pendente</t>
        </is>
      </c>
      <c r="G655" s="45" t="n">
        <v>999</v>
      </c>
      <c r="H655" s="43" t="n">
        <v>608</v>
      </c>
      <c r="I655" s="46">
        <f>IF(H655=0,DATE(2026,10,29),IF(H655=1,DATE(2026,10,30),DATE(2026,11,2)+7*INT((H655-2)/3)+CHOOSE(MOD(H655-2,3)+1,0,2,4)))</f>
        <v/>
      </c>
    </row>
    <row r="656" ht="23.85" customHeight="1" s="24">
      <c r="A656" s="43" t="n">
        <v>655</v>
      </c>
      <c r="B656" s="44" t="inlineStr">
        <is>
          <t>Alta Idade Média: ostrogodos, bizantinos, lombardos e papas (476–1000)</t>
        </is>
      </c>
      <c r="C656" s="45" t="inlineStr">
        <is>
          <t>1000</t>
        </is>
      </c>
      <c r="D656" s="44" t="inlineStr">
        <is>
          <t>O ano mil: medo e esperança</t>
        </is>
      </c>
      <c r="E656" s="44" t="inlineStr">
        <is>
          <t>A definir (Roma)</t>
        </is>
      </c>
      <c r="F656" s="45" t="inlineStr">
        <is>
          <t>Pendente</t>
        </is>
      </c>
      <c r="G656" s="45" t="n">
        <v>1000</v>
      </c>
      <c r="H656" s="43" t="n">
        <v>609</v>
      </c>
      <c r="I656" s="46">
        <f>IF(H656=0,DATE(2026,10,29),IF(H656=1,DATE(2026,10,30),DATE(2026,11,2)+7*INT((H656-2)/3)+CHOOSE(MOD(H656-2,3)+1,0,2,4)))</f>
        <v/>
      </c>
    </row>
    <row r="657" ht="23.85" customHeight="1" s="24">
      <c r="A657" s="43" t="n">
        <v>656</v>
      </c>
      <c r="B657" s="44" t="inlineStr">
        <is>
          <t>Baixa Idade Média: normandos, comunas e peste (1001–1400)</t>
        </is>
      </c>
      <c r="C657" s="45" t="inlineStr">
        <is>
          <t>1016</t>
        </is>
      </c>
      <c r="D657" s="44" t="inlineStr">
        <is>
          <t>Os primeiros normandos no sul da Itália</t>
        </is>
      </c>
      <c r="E657" s="44" t="inlineStr">
        <is>
          <t>Salerno</t>
        </is>
      </c>
      <c r="F657" s="45" t="inlineStr">
        <is>
          <t>Pendente</t>
        </is>
      </c>
      <c r="G657" s="45" t="n">
        <v>1016</v>
      </c>
      <c r="H657" s="43" t="n">
        <v>610</v>
      </c>
      <c r="I657" s="46">
        <f>IF(H657=0,DATE(2026,10,29),IF(H657=1,DATE(2026,10,30),DATE(2026,11,2)+7*INT((H657-2)/3)+CHOOSE(MOD(H657-2,3)+1,0,2,4)))</f>
        <v/>
      </c>
    </row>
    <row r="658" ht="23.85" customHeight="1" s="24">
      <c r="A658" s="43" t="n">
        <v>657</v>
      </c>
      <c r="B658" s="44" t="inlineStr">
        <is>
          <t>Baixa Idade Média: normandos, comunas e peste (1001–1400)</t>
        </is>
      </c>
      <c r="C658" s="45" t="inlineStr">
        <is>
          <t>1030</t>
        </is>
      </c>
      <c r="D658" s="44" t="inlineStr">
        <is>
          <t>Rainulfo e Aversa: nasce o condado normando</t>
        </is>
      </c>
      <c r="E658" s="44" t="inlineStr">
        <is>
          <t>Aversa</t>
        </is>
      </c>
      <c r="F658" s="45" t="inlineStr">
        <is>
          <t>Pendente</t>
        </is>
      </c>
      <c r="G658" s="45" t="n">
        <v>1030</v>
      </c>
      <c r="H658" s="43" t="n">
        <v>611</v>
      </c>
      <c r="I658" s="46">
        <f>IF(H658=0,DATE(2026,10,29),IF(H658=1,DATE(2026,10,30),DATE(2026,11,2)+7*INT((H658-2)/3)+CHOOSE(MOD(H658-2,3)+1,0,2,4)))</f>
        <v/>
      </c>
    </row>
    <row r="659" ht="23.85" customHeight="1" s="24">
      <c r="A659" s="43" t="n">
        <v>658</v>
      </c>
      <c r="B659" s="44" t="inlineStr">
        <is>
          <t>Baixa Idade Média: normandos, comunas e peste (1001–1400)</t>
        </is>
      </c>
      <c r="C659" s="45" t="inlineStr">
        <is>
          <t>1042</t>
        </is>
      </c>
      <c r="D659" s="44" t="inlineStr">
        <is>
          <t>Guilherme Braço de Ferro</t>
        </is>
      </c>
      <c r="E659" s="44" t="inlineStr">
        <is>
          <t>Melfi</t>
        </is>
      </c>
      <c r="F659" s="45" t="inlineStr">
        <is>
          <t>Pendente</t>
        </is>
      </c>
      <c r="G659" s="45" t="n">
        <v>1042</v>
      </c>
      <c r="H659" s="43" t="n">
        <v>612</v>
      </c>
      <c r="I659" s="46">
        <f>IF(H659=0,DATE(2026,10,29),IF(H659=1,DATE(2026,10,30),DATE(2026,11,2)+7*INT((H659-2)/3)+CHOOSE(MOD(H659-2,3)+1,0,2,4)))</f>
        <v/>
      </c>
    </row>
    <row r="660" ht="23.85" customHeight="1" s="24">
      <c r="A660" s="43" t="n">
        <v>659</v>
      </c>
      <c r="B660" s="44" t="inlineStr">
        <is>
          <t>Baixa Idade Média: normandos, comunas e peste (1001–1400)</t>
        </is>
      </c>
      <c r="C660" s="45" t="inlineStr">
        <is>
          <t>1053</t>
        </is>
      </c>
      <c r="D660" s="44" t="inlineStr">
        <is>
          <t>A batalha de Civitate</t>
        </is>
      </c>
      <c r="E660" s="44" t="inlineStr">
        <is>
          <t>Civitate</t>
        </is>
      </c>
      <c r="F660" s="45" t="inlineStr">
        <is>
          <t>Pendente</t>
        </is>
      </c>
      <c r="G660" s="45" t="n">
        <v>1053</v>
      </c>
      <c r="H660" s="43" t="n">
        <v>613</v>
      </c>
      <c r="I660" s="46">
        <f>IF(H660=0,DATE(2026,10,29),IF(H660=1,DATE(2026,10,30),DATE(2026,11,2)+7*INT((H660-2)/3)+CHOOSE(MOD(H660-2,3)+1,0,2,4)))</f>
        <v/>
      </c>
    </row>
    <row r="661" ht="23.85" customHeight="1" s="24">
      <c r="A661" s="43" t="n">
        <v>660</v>
      </c>
      <c r="B661" s="44" t="inlineStr">
        <is>
          <t>Baixa Idade Média: normandos, comunas e peste (1001–1400)</t>
        </is>
      </c>
      <c r="C661" s="45" t="inlineStr">
        <is>
          <t>1054</t>
        </is>
      </c>
      <c r="D661" s="44" t="inlineStr">
        <is>
          <t>O Grande Cisma entre Roma e Constantinopla</t>
        </is>
      </c>
      <c r="E661" s="44" t="inlineStr">
        <is>
          <t>A definir (Roma)</t>
        </is>
      </c>
      <c r="F661" s="45" t="inlineStr">
        <is>
          <t>Pendente</t>
        </is>
      </c>
      <c r="G661" s="45" t="n">
        <v>1054</v>
      </c>
      <c r="H661" s="43" t="n">
        <v>614</v>
      </c>
      <c r="I661" s="46">
        <f>IF(H661=0,DATE(2026,10,29),IF(H661=1,DATE(2026,10,30),DATE(2026,11,2)+7*INT((H661-2)/3)+CHOOSE(MOD(H661-2,3)+1,0,2,4)))</f>
        <v/>
      </c>
    </row>
    <row r="662" ht="23.85" customHeight="1" s="24">
      <c r="A662" s="43" t="n">
        <v>661</v>
      </c>
      <c r="B662" s="44" t="inlineStr">
        <is>
          <t>Baixa Idade Média: normandos, comunas e peste (1001–1400)</t>
        </is>
      </c>
      <c r="C662" s="45" t="inlineStr">
        <is>
          <t>1059</t>
        </is>
      </c>
      <c r="D662" s="44" t="inlineStr">
        <is>
          <t>O Tratado de Melfi</t>
        </is>
      </c>
      <c r="E662" s="44" t="inlineStr">
        <is>
          <t>Melfi</t>
        </is>
      </c>
      <c r="F662" s="45" t="inlineStr">
        <is>
          <t>Pendente</t>
        </is>
      </c>
      <c r="G662" s="45" t="n">
        <v>1059</v>
      </c>
      <c r="H662" s="43" t="n">
        <v>615</v>
      </c>
      <c r="I662" s="46">
        <f>IF(H662=0,DATE(2026,10,29),IF(H662=1,DATE(2026,10,30),DATE(2026,11,2)+7*INT((H662-2)/3)+CHOOSE(MOD(H662-2,3)+1,0,2,4)))</f>
        <v/>
      </c>
    </row>
    <row r="663" ht="23.85" customHeight="1" s="24">
      <c r="A663" s="43" t="n">
        <v>662</v>
      </c>
      <c r="B663" s="44" t="inlineStr">
        <is>
          <t>Baixa Idade Média: normandos, comunas e peste (1001–1400)</t>
        </is>
      </c>
      <c r="C663" s="45" t="inlineStr">
        <is>
          <t>1061</t>
        </is>
      </c>
      <c r="D663" s="44" t="inlineStr">
        <is>
          <t>Rogério I conquista a Sicília</t>
        </is>
      </c>
      <c r="E663" s="44" t="inlineStr">
        <is>
          <t>Palermo</t>
        </is>
      </c>
      <c r="F663" s="45" t="inlineStr">
        <is>
          <t>Pendente</t>
        </is>
      </c>
      <c r="G663" s="45" t="n">
        <v>1061</v>
      </c>
      <c r="H663" s="43" t="n">
        <v>616</v>
      </c>
      <c r="I663" s="46">
        <f>IF(H663=0,DATE(2026,10,29),IF(H663=1,DATE(2026,10,30),DATE(2026,11,2)+7*INT((H663-2)/3)+CHOOSE(MOD(H663-2,3)+1,0,2,4)))</f>
        <v/>
      </c>
    </row>
    <row r="664" ht="23.85" customHeight="1" s="24">
      <c r="A664" s="43" t="n">
        <v>663</v>
      </c>
      <c r="B664" s="44" t="inlineStr">
        <is>
          <t>Baixa Idade Média: normandos, comunas e peste (1001–1400)</t>
        </is>
      </c>
      <c r="C664" s="45" t="inlineStr">
        <is>
          <t>1071</t>
        </is>
      </c>
      <c r="D664" s="44" t="inlineStr">
        <is>
          <t>Roberto Guiscardo toma Bari</t>
        </is>
      </c>
      <c r="E664" s="44" t="inlineStr">
        <is>
          <t>Bari</t>
        </is>
      </c>
      <c r="F664" s="45" t="inlineStr">
        <is>
          <t>Pendente</t>
        </is>
      </c>
      <c r="G664" s="45" t="n">
        <v>1071</v>
      </c>
      <c r="H664" s="43" t="n">
        <v>617</v>
      </c>
      <c r="I664" s="46">
        <f>IF(H664=0,DATE(2026,10,29),IF(H664=1,DATE(2026,10,30),DATE(2026,11,2)+7*INT((H664-2)/3)+CHOOSE(MOD(H664-2,3)+1,0,2,4)))</f>
        <v/>
      </c>
    </row>
    <row r="665" ht="23.85" customHeight="1" s="24">
      <c r="A665" s="43" t="n">
        <v>664</v>
      </c>
      <c r="B665" s="44" t="inlineStr">
        <is>
          <t>Baixa Idade Média: normandos, comunas e peste (1001–1400)</t>
        </is>
      </c>
      <c r="C665" s="45" t="inlineStr">
        <is>
          <t>1072</t>
        </is>
      </c>
      <c r="D665" s="44" t="inlineStr">
        <is>
          <t>Palermo cai nas mãos dos normandos</t>
        </is>
      </c>
      <c r="E665" s="44" t="inlineStr">
        <is>
          <t>Palermo</t>
        </is>
      </c>
      <c r="F665" s="45" t="inlineStr">
        <is>
          <t>Pendente</t>
        </is>
      </c>
      <c r="G665" s="45" t="n">
        <v>1072</v>
      </c>
      <c r="H665" s="43" t="n">
        <v>618</v>
      </c>
      <c r="I665" s="46">
        <f>IF(H665=0,DATE(2026,10,29),IF(H665=1,DATE(2026,10,30),DATE(2026,11,2)+7*INT((H665-2)/3)+CHOOSE(MOD(H665-2,3)+1,0,2,4)))</f>
        <v/>
      </c>
    </row>
    <row r="666" ht="23.85" customHeight="1" s="24">
      <c r="A666" s="43" t="n">
        <v>665</v>
      </c>
      <c r="B666" s="44" t="inlineStr">
        <is>
          <t>Baixa Idade Média: normandos, comunas e peste (1001–1400)</t>
        </is>
      </c>
      <c r="C666" s="45" t="inlineStr">
        <is>
          <t>1077</t>
        </is>
      </c>
      <c r="D666" s="44" t="inlineStr">
        <is>
          <t>Canossa: o imperador de joelhos</t>
        </is>
      </c>
      <c r="E666" s="44" t="inlineStr">
        <is>
          <t>Castelo de Canossa</t>
        </is>
      </c>
      <c r="F666" s="45" t="inlineStr">
        <is>
          <t>Pendente</t>
        </is>
      </c>
      <c r="G666" s="45" t="n">
        <v>1077</v>
      </c>
      <c r="H666" s="43" t="n">
        <v>619</v>
      </c>
      <c r="I666" s="46">
        <f>IF(H666=0,DATE(2026,10,29),IF(H666=1,DATE(2026,10,30),DATE(2026,11,2)+7*INT((H666-2)/3)+CHOOSE(MOD(H666-2,3)+1,0,2,4)))</f>
        <v/>
      </c>
    </row>
    <row r="667" ht="23.85" customHeight="1" s="24">
      <c r="A667" s="43" t="n">
        <v>666</v>
      </c>
      <c r="B667" s="44" t="inlineStr">
        <is>
          <t>Baixa Idade Média: normandos, comunas e peste (1001–1400)</t>
        </is>
      </c>
      <c r="C667" s="45" t="inlineStr">
        <is>
          <t>1084</t>
        </is>
      </c>
      <c r="D667" s="44" t="inlineStr">
        <is>
          <t>O saque normando de Roma</t>
        </is>
      </c>
      <c r="E667" s="44" t="inlineStr">
        <is>
          <t>A definir (Roma)</t>
        </is>
      </c>
      <c r="F667" s="45" t="inlineStr">
        <is>
          <t>Pendente</t>
        </is>
      </c>
      <c r="G667" s="45" t="n">
        <v>1084</v>
      </c>
      <c r="H667" s="43" t="n">
        <v>620</v>
      </c>
      <c r="I667" s="46">
        <f>IF(H667=0,DATE(2026,10,29),IF(H667=1,DATE(2026,10,30),DATE(2026,11,2)+7*INT((H667-2)/3)+CHOOSE(MOD(H667-2,3)+1,0,2,4)))</f>
        <v/>
      </c>
    </row>
    <row r="668" ht="23.85" customHeight="1" s="24">
      <c r="A668" s="43" t="n">
        <v>667</v>
      </c>
      <c r="B668" s="44" t="inlineStr">
        <is>
          <t>Baixa Idade Média: normandos, comunas e peste (1001–1400)</t>
        </is>
      </c>
      <c r="C668" s="45" t="inlineStr">
        <is>
          <t>1088</t>
        </is>
      </c>
      <c r="D668" s="44" t="inlineStr">
        <is>
          <t>Bolonha: a universidade mais antiga do Ocidente</t>
        </is>
      </c>
      <c r="E668" s="44" t="inlineStr">
        <is>
          <t>Palazzo dell'Archiginnasio, Bolonha</t>
        </is>
      </c>
      <c r="F668" s="45" t="inlineStr">
        <is>
          <t>Pendente</t>
        </is>
      </c>
      <c r="G668" s="45" t="n">
        <v>1088</v>
      </c>
      <c r="H668" s="43" t="n">
        <v>621</v>
      </c>
      <c r="I668" s="46">
        <f>IF(H668=0,DATE(2026,10,29),IF(H668=1,DATE(2026,10,30),DATE(2026,11,2)+7*INT((H668-2)/3)+CHOOSE(MOD(H668-2,3)+1,0,2,4)))</f>
        <v/>
      </c>
    </row>
    <row r="669" ht="23.85" customHeight="1" s="24">
      <c r="A669" s="43" t="n">
        <v>668</v>
      </c>
      <c r="B669" s="44" t="inlineStr">
        <is>
          <t>Baixa Idade Média: normandos, comunas e peste (1001–1400)</t>
        </is>
      </c>
      <c r="C669" s="45" t="inlineStr">
        <is>
          <t>1095</t>
        </is>
      </c>
      <c r="D669" s="44" t="inlineStr">
        <is>
          <t>Urbano II e a Primeira Cruzada</t>
        </is>
      </c>
      <c r="E669" s="44" t="inlineStr">
        <is>
          <t>A definir (Roma)</t>
        </is>
      </c>
      <c r="F669" s="45" t="inlineStr">
        <is>
          <t>Pendente</t>
        </is>
      </c>
      <c r="G669" s="45" t="n">
        <v>1095</v>
      </c>
      <c r="H669" s="43" t="n">
        <v>622</v>
      </c>
      <c r="I669" s="46">
        <f>IF(H669=0,DATE(2026,10,29),IF(H669=1,DATE(2026,10,30),DATE(2026,11,2)+7*INT((H669-2)/3)+CHOOSE(MOD(H669-2,3)+1,0,2,4)))</f>
        <v/>
      </c>
    </row>
    <row r="670" ht="23.85" customHeight="1" s="24">
      <c r="A670" s="43" t="n">
        <v>669</v>
      </c>
      <c r="B670" s="44" t="inlineStr">
        <is>
          <t>Baixa Idade Média: normandos, comunas e peste (1001–1400)</t>
        </is>
      </c>
      <c r="C670" s="45" t="inlineStr">
        <is>
          <t>1099</t>
        </is>
      </c>
      <c r="D670" s="44" t="inlineStr">
        <is>
          <t>Os gênoveses e pisanos nas Cruzadas</t>
        </is>
      </c>
      <c r="E670" s="44" t="inlineStr">
        <is>
          <t>Gênova</t>
        </is>
      </c>
      <c r="F670" s="45" t="inlineStr">
        <is>
          <t>Pendente</t>
        </is>
      </c>
      <c r="G670" s="45" t="n">
        <v>1099</v>
      </c>
      <c r="H670" s="43" t="n">
        <v>623</v>
      </c>
      <c r="I670" s="46">
        <f>IF(H670=0,DATE(2026,10,29),IF(H670=1,DATE(2026,10,30),DATE(2026,11,2)+7*INT((H670-2)/3)+CHOOSE(MOD(H670-2,3)+1,0,2,4)))</f>
        <v/>
      </c>
    </row>
    <row r="671" ht="23.85" customHeight="1" s="24">
      <c r="A671" s="43" t="n">
        <v>670</v>
      </c>
      <c r="B671" s="44" t="inlineStr">
        <is>
          <t>Baixa Idade Média: normandos, comunas e peste (1001–1400)</t>
        </is>
      </c>
      <c r="C671" s="45" t="inlineStr">
        <is>
          <t>1111</t>
        </is>
      </c>
      <c r="D671" s="44" t="inlineStr">
        <is>
          <t>Matilde de Toscana e o papado</t>
        </is>
      </c>
      <c r="E671" s="44" t="inlineStr">
        <is>
          <t>Mantova</t>
        </is>
      </c>
      <c r="F671" s="45" t="inlineStr">
        <is>
          <t>Pendente</t>
        </is>
      </c>
      <c r="G671" s="45" t="n">
        <v>1111</v>
      </c>
      <c r="H671" s="43" t="n">
        <v>624</v>
      </c>
      <c r="I671" s="46">
        <f>IF(H671=0,DATE(2026,10,29),IF(H671=1,DATE(2026,10,30),DATE(2026,11,2)+7*INT((H671-2)/3)+CHOOSE(MOD(H671-2,3)+1,0,2,4)))</f>
        <v/>
      </c>
    </row>
    <row r="672" ht="23.85" customHeight="1" s="24">
      <c r="A672" s="43" t="n">
        <v>671</v>
      </c>
      <c r="B672" s="44" t="inlineStr">
        <is>
          <t>Baixa Idade Média: normandos, comunas e peste (1001–1400)</t>
        </is>
      </c>
      <c r="C672" s="45" t="inlineStr">
        <is>
          <t>1118</t>
        </is>
      </c>
      <c r="D672" s="44" t="inlineStr">
        <is>
          <t>A Basílica de São Clemente</t>
        </is>
      </c>
      <c r="E672" s="44" t="inlineStr">
        <is>
          <t>San Clemente, Roma</t>
        </is>
      </c>
      <c r="F672" s="45" t="inlineStr">
        <is>
          <t>Pendente</t>
        </is>
      </c>
      <c r="G672" s="45" t="n">
        <v>1118</v>
      </c>
      <c r="H672" s="43" t="n">
        <v>625</v>
      </c>
      <c r="I672" s="46">
        <f>IF(H672=0,DATE(2026,10,29),IF(H672=1,DATE(2026,10,30),DATE(2026,11,2)+7*INT((H672-2)/3)+CHOOSE(MOD(H672-2,3)+1,0,2,4)))</f>
        <v/>
      </c>
    </row>
    <row r="673" ht="23.85" customHeight="1" s="24">
      <c r="A673" s="43" t="n">
        <v>672</v>
      </c>
      <c r="B673" s="44" t="inlineStr">
        <is>
          <t>Baixa Idade Média: normandos, comunas e peste (1001–1400)</t>
        </is>
      </c>
      <c r="C673" s="45" t="inlineStr">
        <is>
          <t>1122</t>
        </is>
      </c>
      <c r="D673" s="44" t="inlineStr">
        <is>
          <t>A Concordata de Worms</t>
        </is>
      </c>
      <c r="E673" s="44" t="inlineStr">
        <is>
          <t>A definir (Roma)</t>
        </is>
      </c>
      <c r="F673" s="45" t="inlineStr">
        <is>
          <t>Pendente</t>
        </is>
      </c>
      <c r="G673" s="45" t="n">
        <v>1122</v>
      </c>
      <c r="H673" s="43" t="n">
        <v>626</v>
      </c>
      <c r="I673" s="46">
        <f>IF(H673=0,DATE(2026,10,29),IF(H673=1,DATE(2026,10,30),DATE(2026,11,2)+7*INT((H673-2)/3)+CHOOSE(MOD(H673-2,3)+1,0,2,4)))</f>
        <v/>
      </c>
    </row>
    <row r="674" ht="23.85" customHeight="1" s="24">
      <c r="A674" s="43" t="n">
        <v>673</v>
      </c>
      <c r="B674" s="44" t="inlineStr">
        <is>
          <t>Baixa Idade Média: normandos, comunas e peste (1001–1400)</t>
        </is>
      </c>
      <c r="C674" s="45" t="inlineStr">
        <is>
          <t>1130</t>
        </is>
      </c>
      <c r="D674" s="44" t="inlineStr">
        <is>
          <t>Rogério II, rei da Sicília</t>
        </is>
      </c>
      <c r="E674" s="44" t="inlineStr">
        <is>
          <t>Palermo</t>
        </is>
      </c>
      <c r="F674" s="45" t="inlineStr">
        <is>
          <t>Pendente</t>
        </is>
      </c>
      <c r="G674" s="45" t="n">
        <v>1130</v>
      </c>
      <c r="H674" s="43" t="n">
        <v>627</v>
      </c>
      <c r="I674" s="46">
        <f>IF(H674=0,DATE(2026,10,29),IF(H674=1,DATE(2026,10,30),DATE(2026,11,2)+7*INT((H674-2)/3)+CHOOSE(MOD(H674-2,3)+1,0,2,4)))</f>
        <v/>
      </c>
    </row>
    <row r="675" ht="23.85" customHeight="1" s="24">
      <c r="A675" s="43" t="n">
        <v>674</v>
      </c>
      <c r="B675" s="44" t="inlineStr">
        <is>
          <t>Baixa Idade Média: normandos, comunas e peste (1001–1400)</t>
        </is>
      </c>
      <c r="C675" s="45" t="inlineStr">
        <is>
          <t>1132</t>
        </is>
      </c>
      <c r="D675" s="44" t="inlineStr">
        <is>
          <t>A Capela Palatina de Palermo</t>
        </is>
      </c>
      <c r="E675" s="44" t="inlineStr">
        <is>
          <t>Capela Palatina, Palermo</t>
        </is>
      </c>
      <c r="F675" s="45" t="inlineStr">
        <is>
          <t>Pendente</t>
        </is>
      </c>
      <c r="G675" s="45" t="n">
        <v>1132</v>
      </c>
      <c r="H675" s="43" t="n">
        <v>628</v>
      </c>
      <c r="I675" s="46">
        <f>IF(H675=0,DATE(2026,10,29),IF(H675=1,DATE(2026,10,30),DATE(2026,11,2)+7*INT((H675-2)/3)+CHOOSE(MOD(H675-2,3)+1,0,2,4)))</f>
        <v/>
      </c>
    </row>
    <row r="676" ht="23.85" customHeight="1" s="24">
      <c r="A676" s="43" t="n">
        <v>675</v>
      </c>
      <c r="B676" s="44" t="inlineStr">
        <is>
          <t>Baixa Idade Média: normandos, comunas e peste (1001–1400)</t>
        </is>
      </c>
      <c r="C676" s="45" t="inlineStr">
        <is>
          <t>1139</t>
        </is>
      </c>
      <c r="D676" s="44" t="inlineStr">
        <is>
          <t>O Concílio de Latrão II</t>
        </is>
      </c>
      <c r="E676" s="44" t="inlineStr">
        <is>
          <t>São João de Latrão, Roma</t>
        </is>
      </c>
      <c r="F676" s="45" t="inlineStr">
        <is>
          <t>Pendente</t>
        </is>
      </c>
      <c r="G676" s="45" t="n">
        <v>1139</v>
      </c>
      <c r="H676" s="43" t="n">
        <v>629</v>
      </c>
      <c r="I676" s="46">
        <f>IF(H676=0,DATE(2026,10,29),IF(H676=1,DATE(2026,10,30),DATE(2026,11,2)+7*INT((H676-2)/3)+CHOOSE(MOD(H676-2,3)+1,0,2,4)))</f>
        <v/>
      </c>
    </row>
    <row r="677" ht="23.85" customHeight="1" s="24">
      <c r="A677" s="43" t="n">
        <v>676</v>
      </c>
      <c r="B677" s="44" t="inlineStr">
        <is>
          <t>Baixa Idade Média: normandos, comunas e peste (1001–1400)</t>
        </is>
      </c>
      <c r="C677" s="45" t="inlineStr">
        <is>
          <t>1143</t>
        </is>
      </c>
      <c r="D677" s="44" t="inlineStr">
        <is>
          <t>A comuna de Roma e o Senado</t>
        </is>
      </c>
      <c r="E677" s="44" t="inlineStr">
        <is>
          <t>Capitólio, Roma</t>
        </is>
      </c>
      <c r="F677" s="45" t="inlineStr">
        <is>
          <t>Pendente</t>
        </is>
      </c>
      <c r="G677" s="45" t="n">
        <v>1143</v>
      </c>
      <c r="H677" s="43" t="n">
        <v>630</v>
      </c>
      <c r="I677" s="46">
        <f>IF(H677=0,DATE(2026,10,29),IF(H677=1,DATE(2026,10,30),DATE(2026,11,2)+7*INT((H677-2)/3)+CHOOSE(MOD(H677-2,3)+1,0,2,4)))</f>
        <v/>
      </c>
    </row>
    <row r="678" ht="23.85" customHeight="1" s="24">
      <c r="A678" s="43" t="n">
        <v>677</v>
      </c>
      <c r="B678" s="44" t="inlineStr">
        <is>
          <t>Baixa Idade Média: normandos, comunas e peste (1001–1400)</t>
        </is>
      </c>
      <c r="C678" s="45" t="inlineStr">
        <is>
          <t>1145</t>
        </is>
      </c>
      <c r="D678" s="44" t="inlineStr">
        <is>
          <t>Arnaldo de Bréscia</t>
        </is>
      </c>
      <c r="E678" s="44" t="inlineStr">
        <is>
          <t>A definir (Roma)</t>
        </is>
      </c>
      <c r="F678" s="45" t="inlineStr">
        <is>
          <t>Pendente</t>
        </is>
      </c>
      <c r="G678" s="45" t="n">
        <v>1145</v>
      </c>
      <c r="H678" s="43" t="n">
        <v>631</v>
      </c>
      <c r="I678" s="46">
        <f>IF(H678=0,DATE(2026,10,29),IF(H678=1,DATE(2026,10,30),DATE(2026,11,2)+7*INT((H678-2)/3)+CHOOSE(MOD(H678-2,3)+1,0,2,4)))</f>
        <v/>
      </c>
    </row>
    <row r="679" ht="23.85" customHeight="1" s="24">
      <c r="A679" s="43" t="n">
        <v>678</v>
      </c>
      <c r="B679" s="44" t="inlineStr">
        <is>
          <t>Baixa Idade Média: normandos, comunas e peste (1001–1400)</t>
        </is>
      </c>
      <c r="C679" s="45" t="inlineStr">
        <is>
          <t>1148</t>
        </is>
      </c>
      <c r="D679" s="44" t="inlineStr">
        <is>
          <t>A Catedral de Cefalù</t>
        </is>
      </c>
      <c r="E679" s="44" t="inlineStr">
        <is>
          <t>Cefalù</t>
        </is>
      </c>
      <c r="F679" s="45" t="inlineStr">
        <is>
          <t>Pendente</t>
        </is>
      </c>
      <c r="G679" s="45" t="n">
        <v>1148</v>
      </c>
      <c r="H679" s="43" t="n">
        <v>632</v>
      </c>
      <c r="I679" s="46">
        <f>IF(H679=0,DATE(2026,10,29),IF(H679=1,DATE(2026,10,30),DATE(2026,11,2)+7*INT((H679-2)/3)+CHOOSE(MOD(H679-2,3)+1,0,2,4)))</f>
        <v/>
      </c>
    </row>
    <row r="680" ht="23.85" customHeight="1" s="24">
      <c r="A680" s="43" t="n">
        <v>679</v>
      </c>
      <c r="B680" s="44" t="inlineStr">
        <is>
          <t>Baixa Idade Média: normandos, comunas e peste (1001–1400)</t>
        </is>
      </c>
      <c r="C680" s="45" t="inlineStr">
        <is>
          <t>1154</t>
        </is>
      </c>
      <c r="D680" s="44" t="inlineStr">
        <is>
          <t>Frederico Barbarroxa na Itália</t>
        </is>
      </c>
      <c r="E680" s="44" t="inlineStr">
        <is>
          <t>A definir (Roma)</t>
        </is>
      </c>
      <c r="F680" s="45" t="inlineStr">
        <is>
          <t>Pendente</t>
        </is>
      </c>
      <c r="G680" s="45" t="n">
        <v>1154</v>
      </c>
      <c r="H680" s="43" t="n">
        <v>633</v>
      </c>
      <c r="I680" s="46">
        <f>IF(H680=0,DATE(2026,10,29),IF(H680=1,DATE(2026,10,30),DATE(2026,11,2)+7*INT((H680-2)/3)+CHOOSE(MOD(H680-2,3)+1,0,2,4)))</f>
        <v/>
      </c>
    </row>
    <row r="681" ht="23.85" customHeight="1" s="24">
      <c r="A681" s="43" t="n">
        <v>680</v>
      </c>
      <c r="B681" s="44" t="inlineStr">
        <is>
          <t>Baixa Idade Média: normandos, comunas e peste (1001–1400)</t>
        </is>
      </c>
      <c r="C681" s="45" t="inlineStr">
        <is>
          <t>1155</t>
        </is>
      </c>
      <c r="D681" s="44" t="inlineStr">
        <is>
          <t>A coroação de Barbarroxa</t>
        </is>
      </c>
      <c r="E681" s="44" t="inlineStr">
        <is>
          <t>A definir (Roma)</t>
        </is>
      </c>
      <c r="F681" s="45" t="inlineStr">
        <is>
          <t>Pendente</t>
        </is>
      </c>
      <c r="G681" s="45" t="n">
        <v>1155</v>
      </c>
      <c r="H681" s="43" t="n">
        <v>634</v>
      </c>
      <c r="I681" s="46">
        <f>IF(H681=0,DATE(2026,10,29),IF(H681=1,DATE(2026,10,30),DATE(2026,11,2)+7*INT((H681-2)/3)+CHOOSE(MOD(H681-2,3)+1,0,2,4)))</f>
        <v/>
      </c>
    </row>
    <row r="682" ht="23.85" customHeight="1" s="24">
      <c r="A682" s="43" t="n">
        <v>681</v>
      </c>
      <c r="B682" s="44" t="inlineStr">
        <is>
          <t>Baixa Idade Média: normandos, comunas e peste (1001–1400)</t>
        </is>
      </c>
      <c r="C682" s="45" t="inlineStr">
        <is>
          <t>1158</t>
        </is>
      </c>
      <c r="D682" s="44" t="inlineStr">
        <is>
          <t>A Dieta de Roncaglia</t>
        </is>
      </c>
      <c r="E682" s="44" t="inlineStr">
        <is>
          <t>Piacenza</t>
        </is>
      </c>
      <c r="F682" s="45" t="inlineStr">
        <is>
          <t>Pendente</t>
        </is>
      </c>
      <c r="G682" s="45" t="n">
        <v>1158</v>
      </c>
      <c r="H682" s="43" t="n">
        <v>635</v>
      </c>
      <c r="I682" s="46">
        <f>IF(H682=0,DATE(2026,10,29),IF(H682=1,DATE(2026,10,30),DATE(2026,11,2)+7*INT((H682-2)/3)+CHOOSE(MOD(H682-2,3)+1,0,2,4)))</f>
        <v/>
      </c>
    </row>
    <row r="683" ht="23.85" customHeight="1" s="24">
      <c r="A683" s="43" t="n">
        <v>682</v>
      </c>
      <c r="B683" s="44" t="inlineStr">
        <is>
          <t>Baixa Idade Média: normandos, comunas e peste (1001–1400)</t>
        </is>
      </c>
      <c r="C683" s="45" t="inlineStr">
        <is>
          <t>1167</t>
        </is>
      </c>
      <c r="D683" s="44" t="inlineStr">
        <is>
          <t>A Liga Lombarda</t>
        </is>
      </c>
      <c r="E683" s="44" t="inlineStr">
        <is>
          <t>Pontida</t>
        </is>
      </c>
      <c r="F683" s="45" t="inlineStr">
        <is>
          <t>Pendente</t>
        </is>
      </c>
      <c r="G683" s="45" t="n">
        <v>1167</v>
      </c>
      <c r="H683" s="43" t="n">
        <v>636</v>
      </c>
      <c r="I683" s="46">
        <f>IF(H683=0,DATE(2026,10,29),IF(H683=1,DATE(2026,10,30),DATE(2026,11,2)+7*INT((H683-2)/3)+CHOOSE(MOD(H683-2,3)+1,0,2,4)))</f>
        <v/>
      </c>
    </row>
    <row r="684" ht="23.85" customHeight="1" s="24">
      <c r="A684" s="43" t="n">
        <v>683</v>
      </c>
      <c r="B684" s="44" t="inlineStr">
        <is>
          <t>Baixa Idade Média: normandos, comunas e peste (1001–1400)</t>
        </is>
      </c>
      <c r="C684" s="45" t="inlineStr">
        <is>
          <t>1173</t>
        </is>
      </c>
      <c r="D684" s="44" t="inlineStr">
        <is>
          <t>A Torre de Pisa começa a se inclinar</t>
        </is>
      </c>
      <c r="E684" s="44" t="inlineStr">
        <is>
          <t>Piazza dei Miracoli, Pisa</t>
        </is>
      </c>
      <c r="F684" s="45" t="inlineStr">
        <is>
          <t>Pendente</t>
        </is>
      </c>
      <c r="G684" s="45" t="n">
        <v>1173</v>
      </c>
      <c r="H684" s="43" t="n">
        <v>637</v>
      </c>
      <c r="I684" s="46">
        <f>IF(H684=0,DATE(2026,10,29),IF(H684=1,DATE(2026,10,30),DATE(2026,11,2)+7*INT((H684-2)/3)+CHOOSE(MOD(H684-2,3)+1,0,2,4)))</f>
        <v/>
      </c>
    </row>
    <row r="685" ht="23.85" customHeight="1" s="24">
      <c r="A685" s="43" t="n">
        <v>684</v>
      </c>
      <c r="B685" s="44" t="inlineStr">
        <is>
          <t>Baixa Idade Média: normandos, comunas e peste (1001–1400)</t>
        </is>
      </c>
      <c r="C685" s="45" t="inlineStr">
        <is>
          <t>1176</t>
        </is>
      </c>
      <c r="D685" s="44" t="inlineStr">
        <is>
          <t>A batalha de Legnano</t>
        </is>
      </c>
      <c r="E685" s="44" t="inlineStr">
        <is>
          <t>Legnano</t>
        </is>
      </c>
      <c r="F685" s="45" t="inlineStr">
        <is>
          <t>Pendente</t>
        </is>
      </c>
      <c r="G685" s="45" t="n">
        <v>1176</v>
      </c>
      <c r="H685" s="43" t="n">
        <v>638</v>
      </c>
      <c r="I685" s="46">
        <f>IF(H685=0,DATE(2026,10,29),IF(H685=1,DATE(2026,10,30),DATE(2026,11,2)+7*INT((H685-2)/3)+CHOOSE(MOD(H685-2,3)+1,0,2,4)))</f>
        <v/>
      </c>
    </row>
    <row r="686" ht="23.85" customHeight="1" s="24">
      <c r="A686" s="43" t="n">
        <v>685</v>
      </c>
      <c r="B686" s="44" t="inlineStr">
        <is>
          <t>Baixa Idade Média: normandos, comunas e peste (1001–1400)</t>
        </is>
      </c>
      <c r="C686" s="45" t="inlineStr">
        <is>
          <t>1177</t>
        </is>
      </c>
      <c r="D686" s="44" t="inlineStr">
        <is>
          <t>A Paz de Veneza</t>
        </is>
      </c>
      <c r="E686" s="44" t="inlineStr">
        <is>
          <t>Basílica de São Marcos, Veneza</t>
        </is>
      </c>
      <c r="F686" s="45" t="inlineStr">
        <is>
          <t>Pendente</t>
        </is>
      </c>
      <c r="G686" s="45" t="n">
        <v>1177</v>
      </c>
      <c r="H686" s="43" t="n">
        <v>639</v>
      </c>
      <c r="I686" s="46">
        <f>IF(H686=0,DATE(2026,10,29),IF(H686=1,DATE(2026,10,30),DATE(2026,11,2)+7*INT((H686-2)/3)+CHOOSE(MOD(H686-2,3)+1,0,2,4)))</f>
        <v/>
      </c>
    </row>
    <row r="687" ht="23.85" customHeight="1" s="24">
      <c r="A687" s="43" t="n">
        <v>686</v>
      </c>
      <c r="B687" s="44" t="inlineStr">
        <is>
          <t>Baixa Idade Média: normandos, comunas e peste (1001–1400)</t>
        </is>
      </c>
      <c r="C687" s="45" t="inlineStr">
        <is>
          <t>1182</t>
        </is>
      </c>
      <c r="D687" s="44" t="inlineStr">
        <is>
          <t>São Francisco de Assis</t>
        </is>
      </c>
      <c r="E687" s="44" t="inlineStr">
        <is>
          <t>Basílica de São Francisco, Assis</t>
        </is>
      </c>
      <c r="F687" s="45" t="inlineStr">
        <is>
          <t>Pendente</t>
        </is>
      </c>
      <c r="G687" s="45" t="n">
        <v>1182</v>
      </c>
      <c r="H687" s="43" t="n">
        <v>640</v>
      </c>
      <c r="I687" s="46">
        <f>IF(H687=0,DATE(2026,10,29),IF(H687=1,DATE(2026,10,30),DATE(2026,11,2)+7*INT((H687-2)/3)+CHOOSE(MOD(H687-2,3)+1,0,2,4)))</f>
        <v/>
      </c>
    </row>
    <row r="688" ht="23.85" customHeight="1" s="24">
      <c r="A688" s="43" t="n">
        <v>687</v>
      </c>
      <c r="B688" s="44" t="inlineStr">
        <is>
          <t>Baixa Idade Média: normandos, comunas e peste (1001–1400)</t>
        </is>
      </c>
      <c r="C688" s="45" t="inlineStr">
        <is>
          <t>1185</t>
        </is>
      </c>
      <c r="D688" s="44" t="inlineStr">
        <is>
          <t>A Catedral de Monreale</t>
        </is>
      </c>
      <c r="E688" s="44" t="inlineStr">
        <is>
          <t>Duomo de Monreale</t>
        </is>
      </c>
      <c r="F688" s="45" t="inlineStr">
        <is>
          <t>Pendente</t>
        </is>
      </c>
      <c r="G688" s="45" t="n">
        <v>1185</v>
      </c>
      <c r="H688" s="43" t="n">
        <v>641</v>
      </c>
      <c r="I688" s="46">
        <f>IF(H688=0,DATE(2026,10,29),IF(H688=1,DATE(2026,10,30),DATE(2026,11,2)+7*INT((H688-2)/3)+CHOOSE(MOD(H688-2,3)+1,0,2,4)))</f>
        <v/>
      </c>
    </row>
    <row r="689" ht="23.85" customHeight="1" s="24">
      <c r="A689" s="43" t="n">
        <v>688</v>
      </c>
      <c r="B689" s="44" t="inlineStr">
        <is>
          <t>Baixa Idade Média: normandos, comunas e peste (1001–1400)</t>
        </is>
      </c>
      <c r="C689" s="45" t="inlineStr">
        <is>
          <t>1190</t>
        </is>
      </c>
      <c r="D689" s="44" t="inlineStr">
        <is>
          <t>A Terceira Cruzada</t>
        </is>
      </c>
      <c r="E689" s="44" t="inlineStr">
        <is>
          <t>A definir (Roma)</t>
        </is>
      </c>
      <c r="F689" s="45" t="inlineStr">
        <is>
          <t>Pendente</t>
        </is>
      </c>
      <c r="G689" s="45" t="n">
        <v>1190</v>
      </c>
      <c r="H689" s="43" t="n">
        <v>642</v>
      </c>
      <c r="I689" s="46">
        <f>IF(H689=0,DATE(2026,10,29),IF(H689=1,DATE(2026,10,30),DATE(2026,11,2)+7*INT((H689-2)/3)+CHOOSE(MOD(H689-2,3)+1,0,2,4)))</f>
        <v/>
      </c>
    </row>
    <row r="690" ht="23.85" customHeight="1" s="24">
      <c r="A690" s="43" t="n">
        <v>689</v>
      </c>
      <c r="B690" s="44" t="inlineStr">
        <is>
          <t>Baixa Idade Média: normandos, comunas e peste (1001–1400)</t>
        </is>
      </c>
      <c r="C690" s="45" t="inlineStr">
        <is>
          <t>1194</t>
        </is>
      </c>
      <c r="D690" s="44" t="inlineStr">
        <is>
          <t>Henrique VI conquista a Sicília</t>
        </is>
      </c>
      <c r="E690" s="44" t="inlineStr">
        <is>
          <t>Palermo</t>
        </is>
      </c>
      <c r="F690" s="45" t="inlineStr">
        <is>
          <t>Pendente</t>
        </is>
      </c>
      <c r="G690" s="45" t="n">
        <v>1194</v>
      </c>
      <c r="H690" s="43" t="n">
        <v>643</v>
      </c>
      <c r="I690" s="46">
        <f>IF(H690=0,DATE(2026,10,29),IF(H690=1,DATE(2026,10,30),DATE(2026,11,2)+7*INT((H690-2)/3)+CHOOSE(MOD(H690-2,3)+1,0,2,4)))</f>
        <v/>
      </c>
    </row>
    <row r="691" ht="23.85" customHeight="1" s="24">
      <c r="A691" s="43" t="n">
        <v>690</v>
      </c>
      <c r="B691" s="44" t="inlineStr">
        <is>
          <t>Baixa Idade Média: normandos, comunas e peste (1001–1400)</t>
        </is>
      </c>
      <c r="C691" s="45" t="inlineStr">
        <is>
          <t>1198</t>
        </is>
      </c>
      <c r="D691" s="44" t="inlineStr">
        <is>
          <t>Inocêncio III e o apogeu do papado</t>
        </is>
      </c>
      <c r="E691" s="44" t="inlineStr">
        <is>
          <t>A definir (Roma)</t>
        </is>
      </c>
      <c r="F691" s="45" t="inlineStr">
        <is>
          <t>Pendente</t>
        </is>
      </c>
      <c r="G691" s="45" t="n">
        <v>1198</v>
      </c>
      <c r="H691" s="43" t="n">
        <v>644</v>
      </c>
      <c r="I691" s="46">
        <f>IF(H691=0,DATE(2026,10,29),IF(H691=1,DATE(2026,10,30),DATE(2026,11,2)+7*INT((H691-2)/3)+CHOOSE(MOD(H691-2,3)+1,0,2,4)))</f>
        <v/>
      </c>
    </row>
    <row r="692" ht="23.85" customHeight="1" s="24">
      <c r="A692" s="43" t="n">
        <v>691</v>
      </c>
      <c r="B692" s="44" t="inlineStr">
        <is>
          <t>Baixa Idade Média: normandos, comunas e peste (1001–1400)</t>
        </is>
      </c>
      <c r="C692" s="45" t="inlineStr">
        <is>
          <t>1204</t>
        </is>
      </c>
      <c r="D692" s="44" t="inlineStr">
        <is>
          <t>Veneza e a Quarta Cruzada</t>
        </is>
      </c>
      <c r="E692" s="44" t="inlineStr">
        <is>
          <t>Veneza</t>
        </is>
      </c>
      <c r="F692" s="45" t="inlineStr">
        <is>
          <t>Pendente</t>
        </is>
      </c>
      <c r="G692" s="45" t="n">
        <v>1204</v>
      </c>
      <c r="H692" s="43" t="n">
        <v>645</v>
      </c>
      <c r="I692" s="46">
        <f>IF(H692=0,DATE(2026,10,29),IF(H692=1,DATE(2026,10,30),DATE(2026,11,2)+7*INT((H692-2)/3)+CHOOSE(MOD(H692-2,3)+1,0,2,4)))</f>
        <v/>
      </c>
    </row>
    <row r="693" ht="23.85" customHeight="1" s="24">
      <c r="A693" s="43" t="n">
        <v>692</v>
      </c>
      <c r="B693" s="44" t="inlineStr">
        <is>
          <t>Baixa Idade Média: normandos, comunas e peste (1001–1400)</t>
        </is>
      </c>
      <c r="C693" s="45" t="inlineStr">
        <is>
          <t>1208</t>
        </is>
      </c>
      <c r="D693" s="44" t="inlineStr">
        <is>
          <t>Santa Clara de Assis</t>
        </is>
      </c>
      <c r="E693" s="44" t="inlineStr">
        <is>
          <t>Assis</t>
        </is>
      </c>
      <c r="F693" s="45" t="inlineStr">
        <is>
          <t>Pendente</t>
        </is>
      </c>
      <c r="G693" s="45" t="n">
        <v>1208</v>
      </c>
      <c r="H693" s="43" t="n">
        <v>646</v>
      </c>
      <c r="I693" s="46">
        <f>IF(H693=0,DATE(2026,10,29),IF(H693=1,DATE(2026,10,30),DATE(2026,11,2)+7*INT((H693-2)/3)+CHOOSE(MOD(H693-2,3)+1,0,2,4)))</f>
        <v/>
      </c>
    </row>
    <row r="694" ht="23.85" customHeight="1" s="24">
      <c r="A694" s="43" t="n">
        <v>693</v>
      </c>
      <c r="B694" s="44" t="inlineStr">
        <is>
          <t>Baixa Idade Média: normandos, comunas e peste (1001–1400)</t>
        </is>
      </c>
      <c r="C694" s="45" t="inlineStr">
        <is>
          <t>1209</t>
        </is>
      </c>
      <c r="D694" s="44" t="inlineStr">
        <is>
          <t>Francisco e a Regra franciscana</t>
        </is>
      </c>
      <c r="E694" s="44" t="inlineStr">
        <is>
          <t>Assis</t>
        </is>
      </c>
      <c r="F694" s="45" t="inlineStr">
        <is>
          <t>Pendente</t>
        </is>
      </c>
      <c r="G694" s="45" t="n">
        <v>1209</v>
      </c>
      <c r="H694" s="43" t="n">
        <v>647</v>
      </c>
      <c r="I694" s="46">
        <f>IF(H694=0,DATE(2026,10,29),IF(H694=1,DATE(2026,10,30),DATE(2026,11,2)+7*INT((H694-2)/3)+CHOOSE(MOD(H694-2,3)+1,0,2,4)))</f>
        <v/>
      </c>
    </row>
    <row r="695" ht="23.85" customHeight="1" s="24">
      <c r="A695" s="43" t="n">
        <v>694</v>
      </c>
      <c r="B695" s="44" t="inlineStr">
        <is>
          <t>Baixa Idade Média: normandos, comunas e peste (1001–1400)</t>
        </is>
      </c>
      <c r="C695" s="45" t="inlineStr">
        <is>
          <t>1215</t>
        </is>
      </c>
      <c r="D695" s="44" t="inlineStr">
        <is>
          <t>O Quarto Concílio de Latrão</t>
        </is>
      </c>
      <c r="E695" s="44" t="inlineStr">
        <is>
          <t>São João de Latrão, Roma</t>
        </is>
      </c>
      <c r="F695" s="45" t="inlineStr">
        <is>
          <t>Pendente</t>
        </is>
      </c>
      <c r="G695" s="45" t="n">
        <v>1215</v>
      </c>
      <c r="H695" s="43" t="n">
        <v>648</v>
      </c>
      <c r="I695" s="46">
        <f>IF(H695=0,DATE(2026,10,29),IF(H695=1,DATE(2026,10,30),DATE(2026,11,2)+7*INT((H695-2)/3)+CHOOSE(MOD(H695-2,3)+1,0,2,4)))</f>
        <v/>
      </c>
    </row>
    <row r="696" ht="23.85" customHeight="1" s="24">
      <c r="A696" s="43" t="n">
        <v>695</v>
      </c>
      <c r="B696" s="44" t="inlineStr">
        <is>
          <t>Baixa Idade Média: normandos, comunas e peste (1001–1400)</t>
        </is>
      </c>
      <c r="C696" s="45" t="inlineStr">
        <is>
          <t>1220</t>
        </is>
      </c>
      <c r="D696" s="44" t="inlineStr">
        <is>
          <t>Frederico II, imperador</t>
        </is>
      </c>
      <c r="E696" s="44" t="inlineStr">
        <is>
          <t>A definir (Roma)</t>
        </is>
      </c>
      <c r="F696" s="45" t="inlineStr">
        <is>
          <t>Pendente</t>
        </is>
      </c>
      <c r="G696" s="45" t="n">
        <v>1220</v>
      </c>
      <c r="H696" s="43" t="n">
        <v>649</v>
      </c>
      <c r="I696" s="46">
        <f>IF(H696=0,DATE(2026,10,29),IF(H696=1,DATE(2026,10,30),DATE(2026,11,2)+7*INT((H696-2)/3)+CHOOSE(MOD(H696-2,3)+1,0,2,4)))</f>
        <v/>
      </c>
    </row>
    <row r="697" ht="23.85" customHeight="1" s="24">
      <c r="A697" s="43" t="n">
        <v>696</v>
      </c>
      <c r="B697" s="44" t="inlineStr">
        <is>
          <t>Baixa Idade Média: normandos, comunas e peste (1001–1400)</t>
        </is>
      </c>
      <c r="C697" s="45" t="inlineStr">
        <is>
          <t>1224</t>
        </is>
      </c>
      <c r="D697" s="44" t="inlineStr">
        <is>
          <t>Frederico II funda a Universidade de Nápoles</t>
        </is>
      </c>
      <c r="E697" s="44" t="inlineStr">
        <is>
          <t>Nápoles</t>
        </is>
      </c>
      <c r="F697" s="45" t="inlineStr">
        <is>
          <t>Pendente</t>
        </is>
      </c>
      <c r="G697" s="45" t="n">
        <v>1224</v>
      </c>
      <c r="H697" s="43" t="n">
        <v>650</v>
      </c>
      <c r="I697" s="46">
        <f>IF(H697=0,DATE(2026,10,29),IF(H697=1,DATE(2026,10,30),DATE(2026,11,2)+7*INT((H697-2)/3)+CHOOSE(MOD(H697-2,3)+1,0,2,4)))</f>
        <v/>
      </c>
    </row>
    <row r="698" ht="23.85" customHeight="1" s="24">
      <c r="A698" s="43" t="n">
        <v>697</v>
      </c>
      <c r="B698" s="44" t="inlineStr">
        <is>
          <t>Baixa Idade Média: normandos, comunas e peste (1001–1400)</t>
        </is>
      </c>
      <c r="C698" s="45" t="inlineStr">
        <is>
          <t>1226</t>
        </is>
      </c>
      <c r="D698" s="44" t="inlineStr">
        <is>
          <t>A morte de São Francisco</t>
        </is>
      </c>
      <c r="E698" s="44" t="inlineStr">
        <is>
          <t>Assis</t>
        </is>
      </c>
      <c r="F698" s="45" t="inlineStr">
        <is>
          <t>Pendente</t>
        </is>
      </c>
      <c r="G698" s="45" t="n">
        <v>1226</v>
      </c>
      <c r="H698" s="43" t="n">
        <v>651</v>
      </c>
      <c r="I698" s="46">
        <f>IF(H698=0,DATE(2026,10,29),IF(H698=1,DATE(2026,10,30),DATE(2026,11,2)+7*INT((H698-2)/3)+CHOOSE(MOD(H698-2,3)+1,0,2,4)))</f>
        <v/>
      </c>
    </row>
    <row r="699" ht="23.85" customHeight="1" s="24">
      <c r="A699" s="43" t="n">
        <v>698</v>
      </c>
      <c r="B699" s="44" t="inlineStr">
        <is>
          <t>Baixa Idade Média: normandos, comunas e peste (1001–1400)</t>
        </is>
      </c>
      <c r="C699" s="45" t="inlineStr">
        <is>
          <t>1228</t>
        </is>
      </c>
      <c r="D699" s="44" t="inlineStr">
        <is>
          <t>A Basílica de Santo Antônio de Pádua</t>
        </is>
      </c>
      <c r="E699" s="44" t="inlineStr">
        <is>
          <t>Pádua</t>
        </is>
      </c>
      <c r="F699" s="45" t="inlineStr">
        <is>
          <t>Pendente</t>
        </is>
      </c>
      <c r="G699" s="45" t="n">
        <v>1228</v>
      </c>
      <c r="H699" s="43" t="n">
        <v>652</v>
      </c>
      <c r="I699" s="46">
        <f>IF(H699=0,DATE(2026,10,29),IF(H699=1,DATE(2026,10,30),DATE(2026,11,2)+7*INT((H699-2)/3)+CHOOSE(MOD(H699-2,3)+1,0,2,4)))</f>
        <v/>
      </c>
    </row>
    <row r="700" ht="23.85" customHeight="1" s="24">
      <c r="A700" s="43" t="n">
        <v>699</v>
      </c>
      <c r="B700" s="44" t="inlineStr">
        <is>
          <t>Baixa Idade Média: normandos, comunas e peste (1001–1400)</t>
        </is>
      </c>
      <c r="C700" s="45" t="inlineStr">
        <is>
          <t>1231</t>
        </is>
      </c>
      <c r="D700" s="44" t="inlineStr">
        <is>
          <t>As Constituições de Melfi</t>
        </is>
      </c>
      <c r="E700" s="44" t="inlineStr">
        <is>
          <t>Melfi</t>
        </is>
      </c>
      <c r="F700" s="45" t="inlineStr">
        <is>
          <t>Pendente</t>
        </is>
      </c>
      <c r="G700" s="45" t="n">
        <v>1231</v>
      </c>
      <c r="H700" s="43" t="n">
        <v>653</v>
      </c>
      <c r="I700" s="46">
        <f>IF(H700=0,DATE(2026,10,29),IF(H700=1,DATE(2026,10,30),DATE(2026,11,2)+7*INT((H700-2)/3)+CHOOSE(MOD(H700-2,3)+1,0,2,4)))</f>
        <v/>
      </c>
    </row>
    <row r="701" ht="23.85" customHeight="1" s="24">
      <c r="A701" s="43" t="n">
        <v>700</v>
      </c>
      <c r="B701" s="44" t="inlineStr">
        <is>
          <t>Baixa Idade Média: normandos, comunas e peste (1001–1400)</t>
        </is>
      </c>
      <c r="C701" s="45" t="inlineStr">
        <is>
          <t>1239</t>
        </is>
      </c>
      <c r="D701" s="44" t="inlineStr">
        <is>
          <t>Frederico II excomungado</t>
        </is>
      </c>
      <c r="E701" s="44" t="inlineStr">
        <is>
          <t>A definir (Roma)</t>
        </is>
      </c>
      <c r="F701" s="45" t="inlineStr">
        <is>
          <t>Pendente</t>
        </is>
      </c>
      <c r="G701" s="45" t="n">
        <v>1239</v>
      </c>
      <c r="H701" s="43" t="n">
        <v>654</v>
      </c>
      <c r="I701" s="46">
        <f>IF(H701=0,DATE(2026,10,29),IF(H701=1,DATE(2026,10,30),DATE(2026,11,2)+7*INT((H701-2)/3)+CHOOSE(MOD(H701-2,3)+1,0,2,4)))</f>
        <v/>
      </c>
    </row>
    <row r="702" ht="23.85" customHeight="1" s="24">
      <c r="A702" s="43" t="n">
        <v>701</v>
      </c>
      <c r="B702" s="44" t="inlineStr">
        <is>
          <t>Baixa Idade Média: normandos, comunas e peste (1001–1400)</t>
        </is>
      </c>
      <c r="C702" s="45" t="inlineStr">
        <is>
          <t>1240</t>
        </is>
      </c>
      <c r="D702" s="44" t="inlineStr">
        <is>
          <t>Castel del Monte</t>
        </is>
      </c>
      <c r="E702" s="44" t="inlineStr">
        <is>
          <t>Castel del Monte</t>
        </is>
      </c>
      <c r="F702" s="45" t="inlineStr">
        <is>
          <t>Pendente</t>
        </is>
      </c>
      <c r="G702" s="45" t="n">
        <v>1240</v>
      </c>
      <c r="H702" s="43" t="n">
        <v>655</v>
      </c>
      <c r="I702" s="46">
        <f>IF(H702=0,DATE(2026,10,29),IF(H702=1,DATE(2026,10,30),DATE(2026,11,2)+7*INT((H702-2)/3)+CHOOSE(MOD(H702-2,3)+1,0,2,4)))</f>
        <v/>
      </c>
    </row>
    <row r="703" ht="23.85" customHeight="1" s="24">
      <c r="A703" s="43" t="n">
        <v>702</v>
      </c>
      <c r="B703" s="44" t="inlineStr">
        <is>
          <t>Baixa Idade Média: normandos, comunas e peste (1001–1400)</t>
        </is>
      </c>
      <c r="C703" s="45" t="inlineStr">
        <is>
          <t>1250</t>
        </is>
      </c>
      <c r="D703" s="44" t="inlineStr">
        <is>
          <t>A morte de Frederico II</t>
        </is>
      </c>
      <c r="E703" s="44" t="inlineStr">
        <is>
          <t>Castel Fiorentino</t>
        </is>
      </c>
      <c r="F703" s="45" t="inlineStr">
        <is>
          <t>Pendente</t>
        </is>
      </c>
      <c r="G703" s="45" t="n">
        <v>1250</v>
      </c>
      <c r="H703" s="43" t="n">
        <v>656</v>
      </c>
      <c r="I703" s="46">
        <f>IF(H703=0,DATE(2026,10,29),IF(H703=1,DATE(2026,10,30),DATE(2026,11,2)+7*INT((H703-2)/3)+CHOOSE(MOD(H703-2,3)+1,0,2,4)))</f>
        <v/>
      </c>
    </row>
    <row r="704" ht="23.85" customHeight="1" s="24">
      <c r="A704" s="43" t="n">
        <v>703</v>
      </c>
      <c r="B704" s="44" t="inlineStr">
        <is>
          <t>Baixa Idade Média: normandos, comunas e peste (1001–1400)</t>
        </is>
      </c>
      <c r="C704" s="45" t="inlineStr">
        <is>
          <t>1255</t>
        </is>
      </c>
      <c r="D704" s="44" t="inlineStr">
        <is>
          <t>A Torre de Pisa e a cultura gótica</t>
        </is>
      </c>
      <c r="E704" s="44" t="inlineStr">
        <is>
          <t>Pisa</t>
        </is>
      </c>
      <c r="F704" s="45" t="inlineStr">
        <is>
          <t>Pendente</t>
        </is>
      </c>
      <c r="G704" s="45" t="n">
        <v>1255</v>
      </c>
      <c r="H704" s="43" t="n">
        <v>657</v>
      </c>
      <c r="I704" s="46">
        <f>IF(H704=0,DATE(2026,10,29),IF(H704=1,DATE(2026,10,30),DATE(2026,11,2)+7*INT((H704-2)/3)+CHOOSE(MOD(H704-2,3)+1,0,2,4)))</f>
        <v/>
      </c>
    </row>
    <row r="705" ht="23.85" customHeight="1" s="24">
      <c r="A705" s="43" t="n">
        <v>704</v>
      </c>
      <c r="B705" s="44" t="inlineStr">
        <is>
          <t>Baixa Idade Média: normandos, comunas e peste (1001–1400)</t>
        </is>
      </c>
      <c r="C705" s="45" t="inlineStr">
        <is>
          <t>1260</t>
        </is>
      </c>
      <c r="D705" s="44" t="inlineStr">
        <is>
          <t>A batalha de Montaperti</t>
        </is>
      </c>
      <c r="E705" s="44" t="inlineStr">
        <is>
          <t>Siena</t>
        </is>
      </c>
      <c r="F705" s="45" t="inlineStr">
        <is>
          <t>Pendente</t>
        </is>
      </c>
      <c r="G705" s="45" t="n">
        <v>1260</v>
      </c>
      <c r="H705" s="43" t="n">
        <v>658</v>
      </c>
      <c r="I705" s="46">
        <f>IF(H705=0,DATE(2026,10,29),IF(H705=1,DATE(2026,10,30),DATE(2026,11,2)+7*INT((H705-2)/3)+CHOOSE(MOD(H705-2,3)+1,0,2,4)))</f>
        <v/>
      </c>
    </row>
    <row r="706" ht="23.85" customHeight="1" s="24">
      <c r="A706" s="43" t="n">
        <v>705</v>
      </c>
      <c r="B706" s="44" t="inlineStr">
        <is>
          <t>Baixa Idade Média: normandos, comunas e peste (1001–1400)</t>
        </is>
      </c>
      <c r="C706" s="45" t="inlineStr">
        <is>
          <t>1263</t>
        </is>
      </c>
      <c r="D706" s="44" t="inlineStr">
        <is>
          <t>O milagre de Bolsena</t>
        </is>
      </c>
      <c r="E706" s="44" t="inlineStr">
        <is>
          <t>Orvieto</t>
        </is>
      </c>
      <c r="F706" s="45" t="inlineStr">
        <is>
          <t>Pendente</t>
        </is>
      </c>
      <c r="G706" s="45" t="n">
        <v>1263</v>
      </c>
      <c r="H706" s="43" t="n">
        <v>659</v>
      </c>
      <c r="I706" s="46">
        <f>IF(H706=0,DATE(2026,10,29),IF(H706=1,DATE(2026,10,30),DATE(2026,11,2)+7*INT((H706-2)/3)+CHOOSE(MOD(H706-2,3)+1,0,2,4)))</f>
        <v/>
      </c>
    </row>
    <row r="707" ht="23.85" customHeight="1" s="24">
      <c r="A707" s="43" t="n">
        <v>706</v>
      </c>
      <c r="B707" s="44" t="inlineStr">
        <is>
          <t>Baixa Idade Média: normandos, comunas e peste (1001–1400)</t>
        </is>
      </c>
      <c r="C707" s="45" t="inlineStr">
        <is>
          <t>1265</t>
        </is>
      </c>
      <c r="D707" s="44" t="inlineStr">
        <is>
          <t>Dante nasce em Florença</t>
        </is>
      </c>
      <c r="E707" s="44" t="inlineStr">
        <is>
          <t>Casa de Dante, Florença</t>
        </is>
      </c>
      <c r="F707" s="45" t="inlineStr">
        <is>
          <t>Pendente</t>
        </is>
      </c>
      <c r="G707" s="45" t="n">
        <v>1265</v>
      </c>
      <c r="H707" s="43" t="n">
        <v>660</v>
      </c>
      <c r="I707" s="46">
        <f>IF(H707=0,DATE(2026,10,29),IF(H707=1,DATE(2026,10,30),DATE(2026,11,2)+7*INT((H707-2)/3)+CHOOSE(MOD(H707-2,3)+1,0,2,4)))</f>
        <v/>
      </c>
    </row>
    <row r="708" ht="23.85" customHeight="1" s="24">
      <c r="A708" s="43" t="n">
        <v>707</v>
      </c>
      <c r="B708" s="44" t="inlineStr">
        <is>
          <t>Baixa Idade Média: normandos, comunas e peste (1001–1400)</t>
        </is>
      </c>
      <c r="C708" s="45" t="inlineStr">
        <is>
          <t>1266</t>
        </is>
      </c>
      <c r="D708" s="44" t="inlineStr">
        <is>
          <t>A batalha de Benevento: Carlos de Anjou</t>
        </is>
      </c>
      <c r="E708" s="44" t="inlineStr">
        <is>
          <t>Benevento</t>
        </is>
      </c>
      <c r="F708" s="45" t="inlineStr">
        <is>
          <t>Pendente</t>
        </is>
      </c>
      <c r="G708" s="45" t="n">
        <v>1266</v>
      </c>
      <c r="H708" s="43" t="n">
        <v>661</v>
      </c>
      <c r="I708" s="46">
        <f>IF(H708=0,DATE(2026,10,29),IF(H708=1,DATE(2026,10,30),DATE(2026,11,2)+7*INT((H708-2)/3)+CHOOSE(MOD(H708-2,3)+1,0,2,4)))</f>
        <v/>
      </c>
    </row>
    <row r="709" ht="23.85" customHeight="1" s="24">
      <c r="A709" s="43" t="n">
        <v>708</v>
      </c>
      <c r="B709" s="44" t="inlineStr">
        <is>
          <t>Baixa Idade Média: normandos, comunas e peste (1001–1400)</t>
        </is>
      </c>
      <c r="C709" s="45" t="inlineStr">
        <is>
          <t>1268</t>
        </is>
      </c>
      <c r="D709" s="44" t="inlineStr">
        <is>
          <t>Tagliacozzo: o fim dos Staufer</t>
        </is>
      </c>
      <c r="E709" s="44" t="inlineStr">
        <is>
          <t>Tagliacozzo</t>
        </is>
      </c>
      <c r="F709" s="45" t="inlineStr">
        <is>
          <t>Pendente</t>
        </is>
      </c>
      <c r="G709" s="45" t="n">
        <v>1268</v>
      </c>
      <c r="H709" s="43" t="n">
        <v>662</v>
      </c>
      <c r="I709" s="46">
        <f>IF(H709=0,DATE(2026,10,29),IF(H709=1,DATE(2026,10,30),DATE(2026,11,2)+7*INT((H709-2)/3)+CHOOSE(MOD(H709-2,3)+1,0,2,4)))</f>
        <v/>
      </c>
    </row>
    <row r="710" ht="23.85" customHeight="1" s="24">
      <c r="A710" s="43" t="n">
        <v>709</v>
      </c>
      <c r="B710" s="44" t="inlineStr">
        <is>
          <t>Baixa Idade Média: normandos, comunas e peste (1001–1400)</t>
        </is>
      </c>
      <c r="C710" s="45" t="inlineStr">
        <is>
          <t>1271</t>
        </is>
      </c>
      <c r="D710" s="44" t="inlineStr">
        <is>
          <t>Marco Polo parte de Veneza</t>
        </is>
      </c>
      <c r="E710" s="44" t="inlineStr">
        <is>
          <t>Veneza</t>
        </is>
      </c>
      <c r="F710" s="45" t="inlineStr">
        <is>
          <t>Pendente</t>
        </is>
      </c>
      <c r="G710" s="45" t="n">
        <v>1271</v>
      </c>
      <c r="H710" s="43" t="n">
        <v>663</v>
      </c>
      <c r="I710" s="46">
        <f>IF(H710=0,DATE(2026,10,29),IF(H710=1,DATE(2026,10,30),DATE(2026,11,2)+7*INT((H710-2)/3)+CHOOSE(MOD(H710-2,3)+1,0,2,4)))</f>
        <v/>
      </c>
    </row>
    <row r="711" ht="23.85" customHeight="1" s="24">
      <c r="A711" s="43" t="n">
        <v>710</v>
      </c>
      <c r="B711" s="44" t="inlineStr">
        <is>
          <t>Baixa Idade Média: normandos, comunas e peste (1001–1400)</t>
        </is>
      </c>
      <c r="C711" s="45" t="inlineStr">
        <is>
          <t>1274</t>
        </is>
      </c>
      <c r="D711" s="44" t="inlineStr">
        <is>
          <t>São Tomás de Aquino</t>
        </is>
      </c>
      <c r="E711" s="44" t="inlineStr">
        <is>
          <t>A definir (Roma)</t>
        </is>
      </c>
      <c r="F711" s="45" t="inlineStr">
        <is>
          <t>Pendente</t>
        </is>
      </c>
      <c r="G711" s="45" t="n">
        <v>1274</v>
      </c>
      <c r="H711" s="43" t="n">
        <v>664</v>
      </c>
      <c r="I711" s="46">
        <f>IF(H711=0,DATE(2026,10,29),IF(H711=1,DATE(2026,10,30),DATE(2026,11,2)+7*INT((H711-2)/3)+CHOOSE(MOD(H711-2,3)+1,0,2,4)))</f>
        <v/>
      </c>
    </row>
    <row r="712" ht="23.85" customHeight="1" s="24">
      <c r="A712" s="43" t="n">
        <v>711</v>
      </c>
      <c r="B712" s="44" t="inlineStr">
        <is>
          <t>Baixa Idade Média: normandos, comunas e peste (1001–1400)</t>
        </is>
      </c>
      <c r="C712" s="45" t="inlineStr">
        <is>
          <t>1282</t>
        </is>
      </c>
      <c r="D712" s="44" t="inlineStr">
        <is>
          <t>As Vésperas Sicilianas</t>
        </is>
      </c>
      <c r="E712" s="44" t="inlineStr">
        <is>
          <t>Palermo</t>
        </is>
      </c>
      <c r="F712" s="45" t="inlineStr">
        <is>
          <t>Pendente</t>
        </is>
      </c>
      <c r="G712" s="45" t="n">
        <v>1282</v>
      </c>
      <c r="H712" s="43" t="n">
        <v>665</v>
      </c>
      <c r="I712" s="46">
        <f>IF(H712=0,DATE(2026,10,29),IF(H712=1,DATE(2026,10,30),DATE(2026,11,2)+7*INT((H712-2)/3)+CHOOSE(MOD(H712-2,3)+1,0,2,4)))</f>
        <v/>
      </c>
    </row>
    <row r="713" ht="23.85" customHeight="1" s="24">
      <c r="A713" s="43" t="n">
        <v>712</v>
      </c>
      <c r="B713" s="44" t="inlineStr">
        <is>
          <t>Baixa Idade Média: normandos, comunas e peste (1001–1400)</t>
        </is>
      </c>
      <c r="C713" s="45" t="inlineStr">
        <is>
          <t>1284</t>
        </is>
      </c>
      <c r="D713" s="44" t="inlineStr">
        <is>
          <t>A batalha de Meloria</t>
        </is>
      </c>
      <c r="E713" s="44" t="inlineStr">
        <is>
          <t>Pisa</t>
        </is>
      </c>
      <c r="F713" s="45" t="inlineStr">
        <is>
          <t>Pendente</t>
        </is>
      </c>
      <c r="G713" s="45" t="n">
        <v>1284</v>
      </c>
      <c r="H713" s="43" t="n">
        <v>666</v>
      </c>
      <c r="I713" s="46">
        <f>IF(H713=0,DATE(2026,10,29),IF(H713=1,DATE(2026,10,30),DATE(2026,11,2)+7*INT((H713-2)/3)+CHOOSE(MOD(H713-2,3)+1,0,2,4)))</f>
        <v/>
      </c>
    </row>
    <row r="714" ht="23.85" customHeight="1" s="24">
      <c r="A714" s="43" t="n">
        <v>713</v>
      </c>
      <c r="B714" s="44" t="inlineStr">
        <is>
          <t>Baixa Idade Média: normandos, comunas e peste (1001–1400)</t>
        </is>
      </c>
      <c r="C714" s="45" t="inlineStr">
        <is>
          <t>1290</t>
        </is>
      </c>
      <c r="D714" s="44" t="inlineStr">
        <is>
          <t>A Catedral de Orvieto</t>
        </is>
      </c>
      <c r="E714" s="44" t="inlineStr">
        <is>
          <t>Duomo de Orvieto</t>
        </is>
      </c>
      <c r="F714" s="45" t="inlineStr">
        <is>
          <t>Pendente</t>
        </is>
      </c>
      <c r="G714" s="45" t="n">
        <v>1290</v>
      </c>
      <c r="H714" s="43" t="n">
        <v>667</v>
      </c>
      <c r="I714" s="46">
        <f>IF(H714=0,DATE(2026,10,29),IF(H714=1,DATE(2026,10,30),DATE(2026,11,2)+7*INT((H714-2)/3)+CHOOSE(MOD(H714-2,3)+1,0,2,4)))</f>
        <v/>
      </c>
    </row>
    <row r="715" ht="23.85" customHeight="1" s="24">
      <c r="A715" s="43" t="n">
        <v>714</v>
      </c>
      <c r="B715" s="44" t="inlineStr">
        <is>
          <t>Baixa Idade Média: normandos, comunas e peste (1001–1400)</t>
        </is>
      </c>
      <c r="C715" s="45" t="inlineStr">
        <is>
          <t>1293</t>
        </is>
      </c>
      <c r="D715" s="44" t="inlineStr">
        <is>
          <t>A Basílica de Santa Maria de Trastevere</t>
        </is>
      </c>
      <c r="E715" s="44" t="inlineStr">
        <is>
          <t>Santa Maria in Trastevere, Roma</t>
        </is>
      </c>
      <c r="F715" s="45" t="inlineStr">
        <is>
          <t>Pendente</t>
        </is>
      </c>
      <c r="G715" s="45" t="n">
        <v>1293</v>
      </c>
      <c r="H715" s="43" t="n">
        <v>668</v>
      </c>
      <c r="I715" s="46">
        <f>IF(H715=0,DATE(2026,10,29),IF(H715=1,DATE(2026,10,30),DATE(2026,11,2)+7*INT((H715-2)/3)+CHOOSE(MOD(H715-2,3)+1,0,2,4)))</f>
        <v/>
      </c>
    </row>
    <row r="716" ht="23.85" customHeight="1" s="24">
      <c r="A716" s="43" t="n">
        <v>715</v>
      </c>
      <c r="B716" s="44" t="inlineStr">
        <is>
          <t>Baixa Idade Média: normandos, comunas e peste (1001–1400)</t>
        </is>
      </c>
      <c r="C716" s="45" t="inlineStr">
        <is>
          <t>1294</t>
        </is>
      </c>
      <c r="D716" s="44" t="inlineStr">
        <is>
          <t>Celestino V: o papa que renunciou</t>
        </is>
      </c>
      <c r="E716" s="44" t="inlineStr">
        <is>
          <t>L'Aquila</t>
        </is>
      </c>
      <c r="F716" s="45" t="inlineStr">
        <is>
          <t>Pendente</t>
        </is>
      </c>
      <c r="G716" s="45" t="n">
        <v>1294</v>
      </c>
      <c r="H716" s="43" t="n">
        <v>669</v>
      </c>
      <c r="I716" s="46">
        <f>IF(H716=0,DATE(2026,10,29),IF(H716=1,DATE(2026,10,30),DATE(2026,11,2)+7*INT((H716-2)/3)+CHOOSE(MOD(H716-2,3)+1,0,2,4)))</f>
        <v/>
      </c>
    </row>
    <row r="717" ht="23.85" customHeight="1" s="24">
      <c r="A717" s="43" t="n">
        <v>716</v>
      </c>
      <c r="B717" s="44" t="inlineStr">
        <is>
          <t>Baixa Idade Média: normandos, comunas e peste (1001–1400)</t>
        </is>
      </c>
      <c r="C717" s="45" t="inlineStr">
        <is>
          <t>1295</t>
        </is>
      </c>
      <c r="D717" s="44" t="inlineStr">
        <is>
          <t>O Palazzo Pubblico de Siena</t>
        </is>
      </c>
      <c r="E717" s="44" t="inlineStr">
        <is>
          <t>Palazzo Pubblico, Siena</t>
        </is>
      </c>
      <c r="F717" s="45" t="inlineStr">
        <is>
          <t>Pendente</t>
        </is>
      </c>
      <c r="G717" s="45" t="n">
        <v>1295</v>
      </c>
      <c r="H717" s="43" t="n">
        <v>670</v>
      </c>
      <c r="I717" s="46">
        <f>IF(H717=0,DATE(2026,10,29),IF(H717=1,DATE(2026,10,30),DATE(2026,11,2)+7*INT((H717-2)/3)+CHOOSE(MOD(H717-2,3)+1,0,2,4)))</f>
        <v/>
      </c>
    </row>
    <row r="718" ht="23.85" customHeight="1" s="24">
      <c r="A718" s="43" t="n">
        <v>717</v>
      </c>
      <c r="B718" s="44" t="inlineStr">
        <is>
          <t>Baixa Idade Média: normandos, comunas e peste (1001–1400)</t>
        </is>
      </c>
      <c r="C718" s="45" t="inlineStr">
        <is>
          <t>1296</t>
        </is>
      </c>
      <c r="D718" s="44" t="inlineStr">
        <is>
          <t>Arnolfo di Cambio e o Duomo de Florença</t>
        </is>
      </c>
      <c r="E718" s="44" t="inlineStr">
        <is>
          <t>Duomo de Florença</t>
        </is>
      </c>
      <c r="F718" s="45" t="inlineStr">
        <is>
          <t>Pendente</t>
        </is>
      </c>
      <c r="G718" s="45" t="n">
        <v>1296</v>
      </c>
      <c r="H718" s="43" t="n">
        <v>671</v>
      </c>
      <c r="I718" s="46">
        <f>IF(H718=0,DATE(2026,10,29),IF(H718=1,DATE(2026,10,30),DATE(2026,11,2)+7*INT((H718-2)/3)+CHOOSE(MOD(H718-2,3)+1,0,2,4)))</f>
        <v/>
      </c>
    </row>
    <row r="719" ht="23.85" customHeight="1" s="24">
      <c r="A719" s="43" t="n">
        <v>718</v>
      </c>
      <c r="B719" s="44" t="inlineStr">
        <is>
          <t>Baixa Idade Média: normandos, comunas e peste (1001–1400)</t>
        </is>
      </c>
      <c r="C719" s="45" t="inlineStr">
        <is>
          <t>1299</t>
        </is>
      </c>
      <c r="D719" s="44" t="inlineStr">
        <is>
          <t>Palazzo Vecchio</t>
        </is>
      </c>
      <c r="E719" s="44" t="inlineStr">
        <is>
          <t>Palazzo Vecchio, Florença</t>
        </is>
      </c>
      <c r="F719" s="45" t="inlineStr">
        <is>
          <t>Pendente</t>
        </is>
      </c>
      <c r="G719" s="45" t="n">
        <v>1299</v>
      </c>
      <c r="H719" s="43" t="n">
        <v>672</v>
      </c>
      <c r="I719" s="46">
        <f>IF(H719=0,DATE(2026,10,29),IF(H719=1,DATE(2026,10,30),DATE(2026,11,2)+7*INT((H719-2)/3)+CHOOSE(MOD(H719-2,3)+1,0,2,4)))</f>
        <v/>
      </c>
    </row>
    <row r="720" ht="23.85" customHeight="1" s="24">
      <c r="A720" s="43" t="n">
        <v>719</v>
      </c>
      <c r="B720" s="44" t="inlineStr">
        <is>
          <t>Baixa Idade Média: normandos, comunas e peste (1001–1400)</t>
        </is>
      </c>
      <c r="C720" s="45" t="inlineStr">
        <is>
          <t>1300</t>
        </is>
      </c>
      <c r="D720" s="44" t="inlineStr">
        <is>
          <t>O primeiro Jubileu</t>
        </is>
      </c>
      <c r="E720" s="44" t="inlineStr">
        <is>
          <t>São Pedro, Roma</t>
        </is>
      </c>
      <c r="F720" s="45" t="inlineStr">
        <is>
          <t>Pendente</t>
        </is>
      </c>
      <c r="G720" s="45" t="n">
        <v>1300</v>
      </c>
      <c r="H720" s="43" t="n">
        <v>673</v>
      </c>
      <c r="I720" s="46">
        <f>IF(H720=0,DATE(2026,10,29),IF(H720=1,DATE(2026,10,30),DATE(2026,11,2)+7*INT((H720-2)/3)+CHOOSE(MOD(H720-2,3)+1,0,2,4)))</f>
        <v/>
      </c>
    </row>
    <row r="721" ht="23.85" customHeight="1" s="24">
      <c r="A721" s="43" t="n">
        <v>720</v>
      </c>
      <c r="B721" s="44" t="inlineStr">
        <is>
          <t>Baixa Idade Média: normandos, comunas e peste (1001–1400)</t>
        </is>
      </c>
      <c r="C721" s="45" t="inlineStr">
        <is>
          <t>1302</t>
        </is>
      </c>
      <c r="D721" s="44" t="inlineStr">
        <is>
          <t>O exílio de Dante</t>
        </is>
      </c>
      <c r="E721" s="44" t="inlineStr">
        <is>
          <t>Florença</t>
        </is>
      </c>
      <c r="F721" s="45" t="inlineStr">
        <is>
          <t>Pendente</t>
        </is>
      </c>
      <c r="G721" s="45" t="n">
        <v>1302</v>
      </c>
      <c r="H721" s="43" t="n">
        <v>674</v>
      </c>
      <c r="I721" s="46">
        <f>IF(H721=0,DATE(2026,10,29),IF(H721=1,DATE(2026,10,30),DATE(2026,11,2)+7*INT((H721-2)/3)+CHOOSE(MOD(H721-2,3)+1,0,2,4)))</f>
        <v/>
      </c>
    </row>
    <row r="722" ht="23.85" customHeight="1" s="24">
      <c r="A722" s="43" t="n">
        <v>721</v>
      </c>
      <c r="B722" s="44" t="inlineStr">
        <is>
          <t>Baixa Idade Média: normandos, comunas e peste (1001–1400)</t>
        </is>
      </c>
      <c r="C722" s="45" t="inlineStr">
        <is>
          <t>1303</t>
        </is>
      </c>
      <c r="D722" s="44" t="inlineStr">
        <is>
          <t>O Atentado de Anagni</t>
        </is>
      </c>
      <c r="E722" s="44" t="inlineStr">
        <is>
          <t>Anagni</t>
        </is>
      </c>
      <c r="F722" s="45" t="inlineStr">
        <is>
          <t>Pendente</t>
        </is>
      </c>
      <c r="G722" s="45" t="n">
        <v>1303</v>
      </c>
      <c r="H722" s="43" t="n">
        <v>675</v>
      </c>
      <c r="I722" s="46">
        <f>IF(H722=0,DATE(2026,10,29),IF(H722=1,DATE(2026,10,30),DATE(2026,11,2)+7*INT((H722-2)/3)+CHOOSE(MOD(H722-2,3)+1,0,2,4)))</f>
        <v/>
      </c>
    </row>
    <row r="723" ht="23.85" customHeight="1" s="24">
      <c r="A723" s="43" t="n">
        <v>722</v>
      </c>
      <c r="B723" s="44" t="inlineStr">
        <is>
          <t>Baixa Idade Média: normandos, comunas e peste (1001–1400)</t>
        </is>
      </c>
      <c r="C723" s="45" t="inlineStr">
        <is>
          <t>1305</t>
        </is>
      </c>
      <c r="D723" s="44" t="inlineStr">
        <is>
          <t>A Capela Scrovegni de Giotto</t>
        </is>
      </c>
      <c r="E723" s="44" t="inlineStr">
        <is>
          <t>Capela dos Scrovegni, Pádua</t>
        </is>
      </c>
      <c r="F723" s="45" t="inlineStr">
        <is>
          <t>Pendente</t>
        </is>
      </c>
      <c r="G723" s="45" t="n">
        <v>1305</v>
      </c>
      <c r="H723" s="43" t="n">
        <v>676</v>
      </c>
      <c r="I723" s="46">
        <f>IF(H723=0,DATE(2026,10,29),IF(H723=1,DATE(2026,10,30),DATE(2026,11,2)+7*INT((H723-2)/3)+CHOOSE(MOD(H723-2,3)+1,0,2,4)))</f>
        <v/>
      </c>
    </row>
    <row r="724" ht="23.85" customHeight="1" s="24">
      <c r="A724" s="43" t="n">
        <v>723</v>
      </c>
      <c r="B724" s="44" t="inlineStr">
        <is>
          <t>Baixa Idade Média: normandos, comunas e peste (1001–1400)</t>
        </is>
      </c>
      <c r="C724" s="45" t="inlineStr">
        <is>
          <t>1309</t>
        </is>
      </c>
      <c r="D724" s="44" t="inlineStr">
        <is>
          <t>O papado em Avignon</t>
        </is>
      </c>
      <c r="E724" s="44" t="inlineStr">
        <is>
          <t>A definir (Roma)</t>
        </is>
      </c>
      <c r="F724" s="45" t="inlineStr">
        <is>
          <t>Pendente</t>
        </is>
      </c>
      <c r="G724" s="45" t="n">
        <v>1309</v>
      </c>
      <c r="H724" s="43" t="n">
        <v>677</v>
      </c>
      <c r="I724" s="46">
        <f>IF(H724=0,DATE(2026,10,29),IF(H724=1,DATE(2026,10,30),DATE(2026,11,2)+7*INT((H724-2)/3)+CHOOSE(MOD(H724-2,3)+1,0,2,4)))</f>
        <v/>
      </c>
    </row>
    <row r="725" ht="23.85" customHeight="1" s="24">
      <c r="A725" s="43" t="n">
        <v>724</v>
      </c>
      <c r="B725" s="44" t="inlineStr">
        <is>
          <t>Baixa Idade Média: normandos, comunas e peste (1001–1400)</t>
        </is>
      </c>
      <c r="C725" s="45" t="inlineStr">
        <is>
          <t>1313</t>
        </is>
      </c>
      <c r="D725" s="44" t="inlineStr">
        <is>
          <t>Henrique VII e a esperança gibelina</t>
        </is>
      </c>
      <c r="E725" s="44" t="inlineStr">
        <is>
          <t>Pisa</t>
        </is>
      </c>
      <c r="F725" s="45" t="inlineStr">
        <is>
          <t>Pendente</t>
        </is>
      </c>
      <c r="G725" s="45" t="n">
        <v>1313</v>
      </c>
      <c r="H725" s="43" t="n">
        <v>678</v>
      </c>
      <c r="I725" s="46">
        <f>IF(H725=0,DATE(2026,10,29),IF(H725=1,DATE(2026,10,30),DATE(2026,11,2)+7*INT((H725-2)/3)+CHOOSE(MOD(H725-2,3)+1,0,2,4)))</f>
        <v/>
      </c>
    </row>
    <row r="726" ht="23.85" customHeight="1" s="24">
      <c r="A726" s="43" t="n">
        <v>725</v>
      </c>
      <c r="B726" s="44" t="inlineStr">
        <is>
          <t>Baixa Idade Média: normandos, comunas e peste (1001–1400)</t>
        </is>
      </c>
      <c r="C726" s="45" t="inlineStr">
        <is>
          <t>1315</t>
        </is>
      </c>
      <c r="D726" s="44" t="inlineStr">
        <is>
          <t>A Divina Comédia</t>
        </is>
      </c>
      <c r="E726" s="44" t="inlineStr">
        <is>
          <t>Ravena</t>
        </is>
      </c>
      <c r="F726" s="45" t="inlineStr">
        <is>
          <t>Pendente</t>
        </is>
      </c>
      <c r="G726" s="45" t="n">
        <v>1315</v>
      </c>
      <c r="H726" s="43" t="n">
        <v>679</v>
      </c>
      <c r="I726" s="46">
        <f>IF(H726=0,DATE(2026,10,29),IF(H726=1,DATE(2026,10,30),DATE(2026,11,2)+7*INT((H726-2)/3)+CHOOSE(MOD(H726-2,3)+1,0,2,4)))</f>
        <v/>
      </c>
    </row>
    <row r="727" ht="23.85" customHeight="1" s="24">
      <c r="A727" s="43" t="n">
        <v>726</v>
      </c>
      <c r="B727" s="44" t="inlineStr">
        <is>
          <t>Baixa Idade Média: normandos, comunas e peste (1001–1400)</t>
        </is>
      </c>
      <c r="C727" s="45" t="inlineStr">
        <is>
          <t>1321</t>
        </is>
      </c>
      <c r="D727" s="44" t="inlineStr">
        <is>
          <t>A morte de Dante</t>
        </is>
      </c>
      <c r="E727" s="44" t="inlineStr">
        <is>
          <t>Túmulo de Dante, Ravena</t>
        </is>
      </c>
      <c r="F727" s="45" t="inlineStr">
        <is>
          <t>Pendente</t>
        </is>
      </c>
      <c r="G727" s="45" t="n">
        <v>1321</v>
      </c>
      <c r="H727" s="43" t="n">
        <v>680</v>
      </c>
      <c r="I727" s="46">
        <f>IF(H727=0,DATE(2026,10,29),IF(H727=1,DATE(2026,10,30),DATE(2026,11,2)+7*INT((H727-2)/3)+CHOOSE(MOD(H727-2,3)+1,0,2,4)))</f>
        <v/>
      </c>
    </row>
    <row r="728" ht="23.85" customHeight="1" s="24">
      <c r="A728" s="43" t="n">
        <v>727</v>
      </c>
      <c r="B728" s="44" t="inlineStr">
        <is>
          <t>Baixa Idade Média: normandos, comunas e peste (1001–1400)</t>
        </is>
      </c>
      <c r="C728" s="45" t="inlineStr">
        <is>
          <t>1328</t>
        </is>
      </c>
      <c r="D728" s="44" t="inlineStr">
        <is>
          <t>Luís da Baviera em Roma</t>
        </is>
      </c>
      <c r="E728" s="44" t="inlineStr">
        <is>
          <t>A definir (Roma)</t>
        </is>
      </c>
      <c r="F728" s="45" t="inlineStr">
        <is>
          <t>Pendente</t>
        </is>
      </c>
      <c r="G728" s="45" t="n">
        <v>1328</v>
      </c>
      <c r="H728" s="43" t="n">
        <v>681</v>
      </c>
      <c r="I728" s="46">
        <f>IF(H728=0,DATE(2026,10,29),IF(H728=1,DATE(2026,10,30),DATE(2026,11,2)+7*INT((H728-2)/3)+CHOOSE(MOD(H728-2,3)+1,0,2,4)))</f>
        <v/>
      </c>
    </row>
    <row r="729" ht="23.85" customHeight="1" s="24">
      <c r="A729" s="43" t="n">
        <v>728</v>
      </c>
      <c r="B729" s="44" t="inlineStr">
        <is>
          <t>Baixa Idade Média: normandos, comunas e peste (1001–1400)</t>
        </is>
      </c>
      <c r="C729" s="45" t="inlineStr">
        <is>
          <t>1330</t>
        </is>
      </c>
      <c r="D729" s="44" t="inlineStr">
        <is>
          <t>Os Lorenzetti e o Bom Governo</t>
        </is>
      </c>
      <c r="E729" s="44" t="inlineStr">
        <is>
          <t>Palazzo Pubblico, Siena</t>
        </is>
      </c>
      <c r="F729" s="45" t="inlineStr">
        <is>
          <t>Pendente</t>
        </is>
      </c>
      <c r="G729" s="45" t="n">
        <v>1330</v>
      </c>
      <c r="H729" s="43" t="n">
        <v>682</v>
      </c>
      <c r="I729" s="46">
        <f>IF(H729=0,DATE(2026,10,29),IF(H729=1,DATE(2026,10,30),DATE(2026,11,2)+7*INT((H729-2)/3)+CHOOSE(MOD(H729-2,3)+1,0,2,4)))</f>
        <v/>
      </c>
    </row>
    <row r="730" ht="23.85" customHeight="1" s="24">
      <c r="A730" s="43" t="n">
        <v>729</v>
      </c>
      <c r="B730" s="44" t="inlineStr">
        <is>
          <t>Baixa Idade Média: normandos, comunas e peste (1001–1400)</t>
        </is>
      </c>
      <c r="C730" s="45" t="inlineStr">
        <is>
          <t>1333</t>
        </is>
      </c>
      <c r="D730" s="44" t="inlineStr">
        <is>
          <t>O Ponte Vecchio e as enchentes de Florença</t>
        </is>
      </c>
      <c r="E730" s="44" t="inlineStr">
        <is>
          <t>Ponte Vecchio, Florença</t>
        </is>
      </c>
      <c r="F730" s="45" t="inlineStr">
        <is>
          <t>Pendente</t>
        </is>
      </c>
      <c r="G730" s="45" t="n">
        <v>1333</v>
      </c>
      <c r="H730" s="43" t="n">
        <v>683</v>
      </c>
      <c r="I730" s="46">
        <f>IF(H730=0,DATE(2026,10,29),IF(H730=1,DATE(2026,10,30),DATE(2026,11,2)+7*INT((H730-2)/3)+CHOOSE(MOD(H730-2,3)+1,0,2,4)))</f>
        <v/>
      </c>
    </row>
    <row r="731" ht="23.85" customHeight="1" s="24">
      <c r="A731" s="43" t="n">
        <v>730</v>
      </c>
      <c r="B731" s="44" t="inlineStr">
        <is>
          <t>Baixa Idade Média: normandos, comunas e peste (1001–1400)</t>
        </is>
      </c>
      <c r="C731" s="45" t="inlineStr">
        <is>
          <t>1337</t>
        </is>
      </c>
      <c r="D731" s="44" t="inlineStr">
        <is>
          <t>Giotto e o Campanário de Florença</t>
        </is>
      </c>
      <c r="E731" s="44" t="inlineStr">
        <is>
          <t>Campanile de Giotto, Florença</t>
        </is>
      </c>
      <c r="F731" s="45" t="inlineStr">
        <is>
          <t>Pendente</t>
        </is>
      </c>
      <c r="G731" s="45" t="n">
        <v>1337</v>
      </c>
      <c r="H731" s="43" t="n">
        <v>684</v>
      </c>
      <c r="I731" s="46">
        <f>IF(H731=0,DATE(2026,10,29),IF(H731=1,DATE(2026,10,30),DATE(2026,11,2)+7*INT((H731-2)/3)+CHOOSE(MOD(H731-2,3)+1,0,2,4)))</f>
        <v/>
      </c>
    </row>
    <row r="732" ht="23.85" customHeight="1" s="24">
      <c r="A732" s="43" t="n">
        <v>731</v>
      </c>
      <c r="B732" s="44" t="inlineStr">
        <is>
          <t>Baixa Idade Média: normandos, comunas e peste (1001–1400)</t>
        </is>
      </c>
      <c r="C732" s="45" t="inlineStr">
        <is>
          <t>1341</t>
        </is>
      </c>
      <c r="D732" s="44" t="inlineStr">
        <is>
          <t>Petrarca coroado poeta no Capitólio</t>
        </is>
      </c>
      <c r="E732" s="44" t="inlineStr">
        <is>
          <t>Campidoglio, Roma</t>
        </is>
      </c>
      <c r="F732" s="45" t="inlineStr">
        <is>
          <t>Pendente</t>
        </is>
      </c>
      <c r="G732" s="45" t="n">
        <v>1341</v>
      </c>
      <c r="H732" s="43" t="n">
        <v>685</v>
      </c>
      <c r="I732" s="46">
        <f>IF(H732=0,DATE(2026,10,29),IF(H732=1,DATE(2026,10,30),DATE(2026,11,2)+7*INT((H732-2)/3)+CHOOSE(MOD(H732-2,3)+1,0,2,4)))</f>
        <v/>
      </c>
    </row>
    <row r="733" ht="23.85" customHeight="1" s="24">
      <c r="A733" s="43" t="n">
        <v>732</v>
      </c>
      <c r="B733" s="44" t="inlineStr">
        <is>
          <t>Baixa Idade Média: normandos, comunas e peste (1001–1400)</t>
        </is>
      </c>
      <c r="C733" s="45" t="inlineStr">
        <is>
          <t>1347</t>
        </is>
      </c>
      <c r="D733" s="44" t="inlineStr">
        <is>
          <t>Cola di Rienzo: o tribuno de Roma</t>
        </is>
      </c>
      <c r="E733" s="44" t="inlineStr">
        <is>
          <t>Campidoglio, Roma</t>
        </is>
      </c>
      <c r="F733" s="45" t="inlineStr">
        <is>
          <t>Pendente</t>
        </is>
      </c>
      <c r="G733" s="45" t="n">
        <v>1347</v>
      </c>
      <c r="H733" s="43" t="n">
        <v>686</v>
      </c>
      <c r="I733" s="46">
        <f>IF(H733=0,DATE(2026,10,29),IF(H733=1,DATE(2026,10,30),DATE(2026,11,2)+7*INT((H733-2)/3)+CHOOSE(MOD(H733-2,3)+1,0,2,4)))</f>
        <v/>
      </c>
    </row>
    <row r="734" ht="23.85" customHeight="1" s="24">
      <c r="A734" s="43" t="n">
        <v>733</v>
      </c>
      <c r="B734" s="44" t="inlineStr">
        <is>
          <t>Baixa Idade Média: normandos, comunas e peste (1001–1400)</t>
        </is>
      </c>
      <c r="C734" s="45" t="inlineStr">
        <is>
          <t>1348</t>
        </is>
      </c>
      <c r="D734" s="44" t="inlineStr">
        <is>
          <t>A Peste Negra na Itália</t>
        </is>
      </c>
      <c r="E734" s="44" t="inlineStr">
        <is>
          <t>Florença</t>
        </is>
      </c>
      <c r="F734" s="45" t="inlineStr">
        <is>
          <t>Pendente</t>
        </is>
      </c>
      <c r="G734" s="45" t="n">
        <v>1348</v>
      </c>
      <c r="H734" s="43" t="n">
        <v>687</v>
      </c>
      <c r="I734" s="46">
        <f>IF(H734=0,DATE(2026,10,29),IF(H734=1,DATE(2026,10,30),DATE(2026,11,2)+7*INT((H734-2)/3)+CHOOSE(MOD(H734-2,3)+1,0,2,4)))</f>
        <v/>
      </c>
    </row>
    <row r="735" ht="23.85" customHeight="1" s="24">
      <c r="A735" s="43" t="n">
        <v>734</v>
      </c>
      <c r="B735" s="44" t="inlineStr">
        <is>
          <t>Baixa Idade Média: normandos, comunas e peste (1001–1400)</t>
        </is>
      </c>
      <c r="C735" s="45" t="inlineStr">
        <is>
          <t>1349</t>
        </is>
      </c>
      <c r="D735" s="44" t="inlineStr">
        <is>
          <t>Boccaccio e o Decameron</t>
        </is>
      </c>
      <c r="E735" s="44" t="inlineStr">
        <is>
          <t>Certaldo</t>
        </is>
      </c>
      <c r="F735" s="45" t="inlineStr">
        <is>
          <t>Pendente</t>
        </is>
      </c>
      <c r="G735" s="45" t="n">
        <v>1349</v>
      </c>
      <c r="H735" s="43" t="n">
        <v>688</v>
      </c>
      <c r="I735" s="46">
        <f>IF(H735=0,DATE(2026,10,29),IF(H735=1,DATE(2026,10,30),DATE(2026,11,2)+7*INT((H735-2)/3)+CHOOSE(MOD(H735-2,3)+1,0,2,4)))</f>
        <v/>
      </c>
    </row>
    <row r="736" ht="23.85" customHeight="1" s="24">
      <c r="A736" s="43" t="n">
        <v>735</v>
      </c>
      <c r="B736" s="44" t="inlineStr">
        <is>
          <t>Baixa Idade Média: normandos, comunas e peste (1001–1400)</t>
        </is>
      </c>
      <c r="C736" s="45" t="inlineStr">
        <is>
          <t>1354</t>
        </is>
      </c>
      <c r="D736" s="44" t="inlineStr">
        <is>
          <t>A queda de Cola di Rienzo</t>
        </is>
      </c>
      <c r="E736" s="44" t="inlineStr">
        <is>
          <t>A definir (Roma)</t>
        </is>
      </c>
      <c r="F736" s="45" t="inlineStr">
        <is>
          <t>Pendente</t>
        </is>
      </c>
      <c r="G736" s="45" t="n">
        <v>1354</v>
      </c>
      <c r="H736" s="43" t="n">
        <v>689</v>
      </c>
      <c r="I736" s="46">
        <f>IF(H736=0,DATE(2026,10,29),IF(H736=1,DATE(2026,10,30),DATE(2026,11,2)+7*INT((H736-2)/3)+CHOOSE(MOD(H736-2,3)+1,0,2,4)))</f>
        <v/>
      </c>
    </row>
    <row r="737" ht="23.85" customHeight="1" s="24">
      <c r="A737" s="43" t="n">
        <v>736</v>
      </c>
      <c r="B737" s="44" t="inlineStr">
        <is>
          <t>Baixa Idade Média: normandos, comunas e peste (1001–1400)</t>
        </is>
      </c>
      <c r="C737" s="45" t="inlineStr">
        <is>
          <t>1357</t>
        </is>
      </c>
      <c r="D737" s="44" t="inlineStr">
        <is>
          <t>O Arsenal de Veneza</t>
        </is>
      </c>
      <c r="E737" s="44" t="inlineStr">
        <is>
          <t>Arsenal, Veneza</t>
        </is>
      </c>
      <c r="F737" s="45" t="inlineStr">
        <is>
          <t>Pendente</t>
        </is>
      </c>
      <c r="G737" s="45" t="n">
        <v>1357</v>
      </c>
      <c r="H737" s="43" t="n">
        <v>690</v>
      </c>
      <c r="I737" s="46">
        <f>IF(H737=0,DATE(2026,10,29),IF(H737=1,DATE(2026,10,30),DATE(2026,11,2)+7*INT((H737-2)/3)+CHOOSE(MOD(H737-2,3)+1,0,2,4)))</f>
        <v/>
      </c>
    </row>
    <row r="738" ht="23.85" customHeight="1" s="24">
      <c r="A738" s="43" t="n">
        <v>737</v>
      </c>
      <c r="B738" s="44" t="inlineStr">
        <is>
          <t>Baixa Idade Média: normandos, comunas e peste (1001–1400)</t>
        </is>
      </c>
      <c r="C738" s="45" t="inlineStr">
        <is>
          <t>1362</t>
        </is>
      </c>
      <c r="D738" s="44" t="inlineStr">
        <is>
          <t>Os Visconti em Milão</t>
        </is>
      </c>
      <c r="E738" s="44" t="inlineStr">
        <is>
          <t>Castelo Sforzesco, Milão</t>
        </is>
      </c>
      <c r="F738" s="45" t="inlineStr">
        <is>
          <t>Pendente</t>
        </is>
      </c>
      <c r="G738" s="45" t="n">
        <v>1362</v>
      </c>
      <c r="H738" s="43" t="n">
        <v>691</v>
      </c>
      <c r="I738" s="46">
        <f>IF(H738=0,DATE(2026,10,29),IF(H738=1,DATE(2026,10,30),DATE(2026,11,2)+7*INT((H738-2)/3)+CHOOSE(MOD(H738-2,3)+1,0,2,4)))</f>
        <v/>
      </c>
    </row>
    <row r="739" ht="23.85" customHeight="1" s="24">
      <c r="A739" s="43" t="n">
        <v>738</v>
      </c>
      <c r="B739" s="44" t="inlineStr">
        <is>
          <t>Baixa Idade Média: normandos, comunas e peste (1001–1400)</t>
        </is>
      </c>
      <c r="C739" s="45" t="inlineStr">
        <is>
          <t>1368</t>
        </is>
      </c>
      <c r="D739" s="44" t="inlineStr">
        <is>
          <t>O Palácio Ducal de Veneza</t>
        </is>
      </c>
      <c r="E739" s="44" t="inlineStr">
        <is>
          <t>Palácio Ducal, Veneza</t>
        </is>
      </c>
      <c r="F739" s="45" t="inlineStr">
        <is>
          <t>Pendente</t>
        </is>
      </c>
      <c r="G739" s="45" t="n">
        <v>1368</v>
      </c>
      <c r="H739" s="43" t="n">
        <v>692</v>
      </c>
      <c r="I739" s="46">
        <f>IF(H739=0,DATE(2026,10,29),IF(H739=1,DATE(2026,10,30),DATE(2026,11,2)+7*INT((H739-2)/3)+CHOOSE(MOD(H739-2,3)+1,0,2,4)))</f>
        <v/>
      </c>
    </row>
    <row r="740" ht="23.85" customHeight="1" s="24">
      <c r="A740" s="43" t="n">
        <v>739</v>
      </c>
      <c r="B740" s="44" t="inlineStr">
        <is>
          <t>Baixa Idade Média: normandos, comunas e peste (1001–1400)</t>
        </is>
      </c>
      <c r="C740" s="45" t="inlineStr">
        <is>
          <t>1370</t>
        </is>
      </c>
      <c r="D740" s="44" t="inlineStr">
        <is>
          <t>Catarina de Siena</t>
        </is>
      </c>
      <c r="E740" s="44" t="inlineStr">
        <is>
          <t>Santuário de Santa Catarina, Siena</t>
        </is>
      </c>
      <c r="F740" s="45" t="inlineStr">
        <is>
          <t>Pendente</t>
        </is>
      </c>
      <c r="G740" s="45" t="n">
        <v>1370</v>
      </c>
      <c r="H740" s="43" t="n">
        <v>693</v>
      </c>
      <c r="I740" s="46">
        <f>IF(H740=0,DATE(2026,10,29),IF(H740=1,DATE(2026,10,30),DATE(2026,11,2)+7*INT((H740-2)/3)+CHOOSE(MOD(H740-2,3)+1,0,2,4)))</f>
        <v/>
      </c>
    </row>
    <row r="741" ht="23.85" customHeight="1" s="24">
      <c r="A741" s="43" t="n">
        <v>740</v>
      </c>
      <c r="B741" s="44" t="inlineStr">
        <is>
          <t>Baixa Idade Média: normandos, comunas e peste (1001–1400)</t>
        </is>
      </c>
      <c r="C741" s="45" t="inlineStr">
        <is>
          <t>1374</t>
        </is>
      </c>
      <c r="D741" s="44" t="inlineStr">
        <is>
          <t>A morte de Petrarca</t>
        </is>
      </c>
      <c r="E741" s="44" t="inlineStr">
        <is>
          <t>Arquà Petrarca</t>
        </is>
      </c>
      <c r="F741" s="45" t="inlineStr">
        <is>
          <t>Pendente</t>
        </is>
      </c>
      <c r="G741" s="45" t="n">
        <v>1374</v>
      </c>
      <c r="H741" s="43" t="n">
        <v>694</v>
      </c>
      <c r="I741" s="46">
        <f>IF(H741=0,DATE(2026,10,29),IF(H741=1,DATE(2026,10,30),DATE(2026,11,2)+7*INT((H741-2)/3)+CHOOSE(MOD(H741-2,3)+1,0,2,4)))</f>
        <v/>
      </c>
    </row>
    <row r="742" ht="23.85" customHeight="1" s="24">
      <c r="A742" s="43" t="n">
        <v>741</v>
      </c>
      <c r="B742" s="44" t="inlineStr">
        <is>
          <t>Baixa Idade Média: normandos, comunas e peste (1001–1400)</t>
        </is>
      </c>
      <c r="C742" s="45" t="inlineStr">
        <is>
          <t>1375</t>
        </is>
      </c>
      <c r="D742" s="44" t="inlineStr">
        <is>
          <t>Santa Catarina e o retorno do papa</t>
        </is>
      </c>
      <c r="E742" s="44" t="inlineStr">
        <is>
          <t>Siena</t>
        </is>
      </c>
      <c r="F742" s="45" t="inlineStr">
        <is>
          <t>Pendente</t>
        </is>
      </c>
      <c r="G742" s="45" t="n">
        <v>1375</v>
      </c>
      <c r="H742" s="43" t="n">
        <v>695</v>
      </c>
      <c r="I742" s="46">
        <f>IF(H742=0,DATE(2026,10,29),IF(H742=1,DATE(2026,10,30),DATE(2026,11,2)+7*INT((H742-2)/3)+CHOOSE(MOD(H742-2,3)+1,0,2,4)))</f>
        <v/>
      </c>
    </row>
    <row r="743" ht="23.85" customHeight="1" s="24">
      <c r="A743" s="43" t="n">
        <v>742</v>
      </c>
      <c r="B743" s="44" t="inlineStr">
        <is>
          <t>Baixa Idade Média: normandos, comunas e peste (1001–1400)</t>
        </is>
      </c>
      <c r="C743" s="45" t="inlineStr">
        <is>
          <t>1377</t>
        </is>
      </c>
      <c r="D743" s="44" t="inlineStr">
        <is>
          <t>Gregório XI volta a Roma</t>
        </is>
      </c>
      <c r="E743" s="44" t="inlineStr">
        <is>
          <t>A definir (Roma)</t>
        </is>
      </c>
      <c r="F743" s="45" t="inlineStr">
        <is>
          <t>Pendente</t>
        </is>
      </c>
      <c r="G743" s="45" t="n">
        <v>1377</v>
      </c>
      <c r="H743" s="43" t="n">
        <v>696</v>
      </c>
      <c r="I743" s="46">
        <f>IF(H743=0,DATE(2026,10,29),IF(H743=1,DATE(2026,10,30),DATE(2026,11,2)+7*INT((H743-2)/3)+CHOOSE(MOD(H743-2,3)+1,0,2,4)))</f>
        <v/>
      </c>
    </row>
    <row r="744" ht="23.85" customHeight="1" s="24">
      <c r="A744" s="43" t="n">
        <v>743</v>
      </c>
      <c r="B744" s="44" t="inlineStr">
        <is>
          <t>Baixa Idade Média: normandos, comunas e peste (1001–1400)</t>
        </is>
      </c>
      <c r="C744" s="45" t="inlineStr">
        <is>
          <t>1378</t>
        </is>
      </c>
      <c r="D744" s="44" t="inlineStr">
        <is>
          <t>O Grande Cisma do Ocidente</t>
        </is>
      </c>
      <c r="E744" s="44" t="inlineStr">
        <is>
          <t>A definir (Roma)</t>
        </is>
      </c>
      <c r="F744" s="45" t="inlineStr">
        <is>
          <t>Pendente</t>
        </is>
      </c>
      <c r="G744" s="45" t="n">
        <v>1378</v>
      </c>
      <c r="H744" s="43" t="n">
        <v>697</v>
      </c>
      <c r="I744" s="46">
        <f>IF(H744=0,DATE(2026,10,29),IF(H744=1,DATE(2026,10,30),DATE(2026,11,2)+7*INT((H744-2)/3)+CHOOSE(MOD(H744-2,3)+1,0,2,4)))</f>
        <v/>
      </c>
    </row>
    <row r="745" ht="23.85" customHeight="1" s="24">
      <c r="A745" s="43" t="n">
        <v>744</v>
      </c>
      <c r="B745" s="44" t="inlineStr">
        <is>
          <t>Baixa Idade Média: normandos, comunas e peste (1001–1400)</t>
        </is>
      </c>
      <c r="C745" s="45" t="inlineStr">
        <is>
          <t>1380</t>
        </is>
      </c>
      <c r="D745" s="44" t="inlineStr">
        <is>
          <t>A guerra de Chioggia</t>
        </is>
      </c>
      <c r="E745" s="44" t="inlineStr">
        <is>
          <t>Chioggia</t>
        </is>
      </c>
      <c r="F745" s="45" t="inlineStr">
        <is>
          <t>Pendente</t>
        </is>
      </c>
      <c r="G745" s="45" t="n">
        <v>1380</v>
      </c>
      <c r="H745" s="43" t="n">
        <v>698</v>
      </c>
      <c r="I745" s="46">
        <f>IF(H745=0,DATE(2026,10,29),IF(H745=1,DATE(2026,10,30),DATE(2026,11,2)+7*INT((H745-2)/3)+CHOOSE(MOD(H745-2,3)+1,0,2,4)))</f>
        <v/>
      </c>
    </row>
    <row r="746" ht="23.85" customHeight="1" s="24">
      <c r="A746" s="43" t="n">
        <v>745</v>
      </c>
      <c r="B746" s="44" t="inlineStr">
        <is>
          <t>Baixa Idade Média: normandos, comunas e peste (1001–1400)</t>
        </is>
      </c>
      <c r="C746" s="45" t="inlineStr">
        <is>
          <t>1385</t>
        </is>
      </c>
      <c r="D746" s="44" t="inlineStr">
        <is>
          <t>A Catedral de Milão</t>
        </is>
      </c>
      <c r="E746" s="44" t="inlineStr">
        <is>
          <t>Duomo de Milão</t>
        </is>
      </c>
      <c r="F746" s="45" t="inlineStr">
        <is>
          <t>Pendente</t>
        </is>
      </c>
      <c r="G746" s="45" t="n">
        <v>1385</v>
      </c>
      <c r="H746" s="43" t="n">
        <v>699</v>
      </c>
      <c r="I746" s="46">
        <f>IF(H746=0,DATE(2026,10,29),IF(H746=1,DATE(2026,10,30),DATE(2026,11,2)+7*INT((H746-2)/3)+CHOOSE(MOD(H746-2,3)+1,0,2,4)))</f>
        <v/>
      </c>
    </row>
    <row r="747" ht="23.85" customHeight="1" s="24">
      <c r="A747" s="43" t="n">
        <v>746</v>
      </c>
      <c r="B747" s="44" t="inlineStr">
        <is>
          <t>Baixa Idade Média: normandos, comunas e peste (1001–1400)</t>
        </is>
      </c>
      <c r="C747" s="45" t="inlineStr">
        <is>
          <t>1386</t>
        </is>
      </c>
      <c r="D747" s="44" t="inlineStr">
        <is>
          <t>A Cartuxa de Pavia</t>
        </is>
      </c>
      <c r="E747" s="44" t="inlineStr">
        <is>
          <t>Certosa de Pavia</t>
        </is>
      </c>
      <c r="F747" s="45" t="inlineStr">
        <is>
          <t>Pendente</t>
        </is>
      </c>
      <c r="G747" s="45" t="n">
        <v>1386</v>
      </c>
      <c r="H747" s="43" t="n">
        <v>700</v>
      </c>
      <c r="I747" s="46">
        <f>IF(H747=0,DATE(2026,10,29),IF(H747=1,DATE(2026,10,30),DATE(2026,11,2)+7*INT((H747-2)/3)+CHOOSE(MOD(H747-2,3)+1,0,2,4)))</f>
        <v/>
      </c>
    </row>
    <row r="748" ht="23.85" customHeight="1" s="24">
      <c r="A748" s="43" t="n">
        <v>747</v>
      </c>
      <c r="B748" s="44" t="inlineStr">
        <is>
          <t>Baixa Idade Média: normandos, comunas e peste (1001–1400)</t>
        </is>
      </c>
      <c r="C748" s="45" t="inlineStr">
        <is>
          <t>1390</t>
        </is>
      </c>
      <c r="D748" s="44" t="inlineStr">
        <is>
          <t>O Palazzo Davanzati</t>
        </is>
      </c>
      <c r="E748" s="44" t="inlineStr">
        <is>
          <t>Palácio Davanzati, Florença</t>
        </is>
      </c>
      <c r="F748" s="45" t="inlineStr">
        <is>
          <t>Pendente</t>
        </is>
      </c>
      <c r="G748" s="45" t="n">
        <v>1390</v>
      </c>
      <c r="H748" s="43" t="n">
        <v>701</v>
      </c>
      <c r="I748" s="46">
        <f>IF(H748=0,DATE(2026,10,29),IF(H748=1,DATE(2026,10,30),DATE(2026,11,2)+7*INT((H748-2)/3)+CHOOSE(MOD(H748-2,3)+1,0,2,4)))</f>
        <v/>
      </c>
    </row>
    <row r="749" ht="23.85" customHeight="1" s="24">
      <c r="A749" s="43" t="n">
        <v>748</v>
      </c>
      <c r="B749" s="44" t="inlineStr">
        <is>
          <t>Baixa Idade Média: normandos, comunas e peste (1001–1400)</t>
        </is>
      </c>
      <c r="C749" s="45" t="inlineStr">
        <is>
          <t>1397</t>
        </is>
      </c>
      <c r="D749" s="44" t="inlineStr">
        <is>
          <t>A fundação do Banco Medici</t>
        </is>
      </c>
      <c r="E749" s="44" t="inlineStr">
        <is>
          <t>Palácio Medici Riccardi, Florença</t>
        </is>
      </c>
      <c r="F749" s="45" t="inlineStr">
        <is>
          <t>Pendente</t>
        </is>
      </c>
      <c r="G749" s="45" t="n">
        <v>1397</v>
      </c>
      <c r="H749" s="43" t="n">
        <v>702</v>
      </c>
      <c r="I749" s="46">
        <f>IF(H749=0,DATE(2026,10,29),IF(H749=1,DATE(2026,10,30),DATE(2026,11,2)+7*INT((H749-2)/3)+CHOOSE(MOD(H749-2,3)+1,0,2,4)))</f>
        <v/>
      </c>
    </row>
    <row r="750" ht="23.85" customHeight="1" s="24">
      <c r="A750" s="43" t="n">
        <v>749</v>
      </c>
      <c r="B750" s="44" t="inlineStr">
        <is>
          <t>Baixa Idade Média: normandos, comunas e peste (1001–1400)</t>
        </is>
      </c>
      <c r="C750" s="45" t="inlineStr">
        <is>
          <t>1399</t>
        </is>
      </c>
      <c r="D750" s="44" t="inlineStr">
        <is>
          <t>Os Bianchi e as procissões</t>
        </is>
      </c>
      <c r="E750" s="44" t="inlineStr">
        <is>
          <t>A definir (Roma)</t>
        </is>
      </c>
      <c r="F750" s="45" t="inlineStr">
        <is>
          <t>Pendente</t>
        </is>
      </c>
      <c r="G750" s="45" t="n">
        <v>1399</v>
      </c>
      <c r="H750" s="43" t="n">
        <v>703</v>
      </c>
      <c r="I750" s="46">
        <f>IF(H750=0,DATE(2026,10,29),IF(H750=1,DATE(2026,10,30),DATE(2026,11,2)+7*INT((H750-2)/3)+CHOOSE(MOD(H750-2,3)+1,0,2,4)))</f>
        <v/>
      </c>
    </row>
    <row r="751" ht="23.85" customHeight="1" s="24">
      <c r="A751" s="43" t="n">
        <v>750</v>
      </c>
      <c r="B751" s="44" t="inlineStr">
        <is>
          <t>Baixa Idade Média: normandos, comunas e peste (1001–1400)</t>
        </is>
      </c>
      <c r="C751" s="45" t="inlineStr">
        <is>
          <t>1400</t>
        </is>
      </c>
      <c r="D751" s="44" t="inlineStr">
        <is>
          <t>A Itália no limiar do Renascimento</t>
        </is>
      </c>
      <c r="E751" s="44" t="inlineStr">
        <is>
          <t>Florença</t>
        </is>
      </c>
      <c r="F751" s="45" t="inlineStr">
        <is>
          <t>Pendente</t>
        </is>
      </c>
      <c r="G751" s="45" t="n">
        <v>1400</v>
      </c>
      <c r="H751" s="43" t="n">
        <v>704</v>
      </c>
      <c r="I751" s="46">
        <f>IF(H751=0,DATE(2026,10,29),IF(H751=1,DATE(2026,10,30),DATE(2026,11,2)+7*INT((H751-2)/3)+CHOOSE(MOD(H751-2,3)+1,0,2,4)))</f>
        <v/>
      </c>
    </row>
    <row r="752" ht="15" customHeight="1" s="24">
      <c r="A752" s="43" t="n">
        <v>751</v>
      </c>
      <c r="B752" s="44" t="inlineStr">
        <is>
          <t>Renascimento (1401–1527)</t>
        </is>
      </c>
      <c r="C752" s="45" t="inlineStr">
        <is>
          <t>1401</t>
        </is>
      </c>
      <c r="D752" s="44" t="inlineStr">
        <is>
          <t>O concurso das portas do Batistério</t>
        </is>
      </c>
      <c r="E752" s="44" t="inlineStr">
        <is>
          <t>Batistério de Florença</t>
        </is>
      </c>
      <c r="F752" s="45" t="inlineStr">
        <is>
          <t>Pendente</t>
        </is>
      </c>
      <c r="G752" s="45" t="n">
        <v>1401</v>
      </c>
      <c r="H752" s="43" t="n">
        <v>705</v>
      </c>
      <c r="I752" s="46">
        <f>IF(H752=0,DATE(2026,10,29),IF(H752=1,DATE(2026,10,30),DATE(2026,11,2)+7*INT((H752-2)/3)+CHOOSE(MOD(H752-2,3)+1,0,2,4)))</f>
        <v/>
      </c>
    </row>
    <row r="753" ht="15" customHeight="1" s="24">
      <c r="A753" s="43" t="n">
        <v>752</v>
      </c>
      <c r="B753" s="44" t="inlineStr">
        <is>
          <t>Renascimento (1401–1527)</t>
        </is>
      </c>
      <c r="C753" s="45" t="inlineStr">
        <is>
          <t>1402</t>
        </is>
      </c>
      <c r="D753" s="44" t="inlineStr">
        <is>
          <t>A morte de Gian Galeazzo Visconti</t>
        </is>
      </c>
      <c r="E753" s="44" t="inlineStr">
        <is>
          <t>Milão</t>
        </is>
      </c>
      <c r="F753" s="45" t="inlineStr">
        <is>
          <t>Pendente</t>
        </is>
      </c>
      <c r="G753" s="45" t="n">
        <v>1402</v>
      </c>
      <c r="H753" s="43" t="n">
        <v>706</v>
      </c>
      <c r="I753" s="46">
        <f>IF(H753=0,DATE(2026,10,29),IF(H753=1,DATE(2026,10,30),DATE(2026,11,2)+7*INT((H753-2)/3)+CHOOSE(MOD(H753-2,3)+1,0,2,4)))</f>
        <v/>
      </c>
    </row>
    <row r="754" ht="15" customHeight="1" s="24">
      <c r="A754" s="43" t="n">
        <v>753</v>
      </c>
      <c r="B754" s="44" t="inlineStr">
        <is>
          <t>Renascimento (1401–1527)</t>
        </is>
      </c>
      <c r="C754" s="45" t="inlineStr">
        <is>
          <t>1407</t>
        </is>
      </c>
      <c r="D754" s="44" t="inlineStr">
        <is>
          <t>O Banco de São Jorge</t>
        </is>
      </c>
      <c r="E754" s="44" t="inlineStr">
        <is>
          <t>Gênova</t>
        </is>
      </c>
      <c r="F754" s="45" t="inlineStr">
        <is>
          <t>Pendente</t>
        </is>
      </c>
      <c r="G754" s="45" t="n">
        <v>1407</v>
      </c>
      <c r="H754" s="43" t="n">
        <v>707</v>
      </c>
      <c r="I754" s="46">
        <f>IF(H754=0,DATE(2026,10,29),IF(H754=1,DATE(2026,10,30),DATE(2026,11,2)+7*INT((H754-2)/3)+CHOOSE(MOD(H754-2,3)+1,0,2,4)))</f>
        <v/>
      </c>
    </row>
    <row r="755" ht="15" customHeight="1" s="24">
      <c r="A755" s="43" t="n">
        <v>754</v>
      </c>
      <c r="B755" s="44" t="inlineStr">
        <is>
          <t>Renascimento (1401–1527)</t>
        </is>
      </c>
      <c r="C755" s="45" t="inlineStr">
        <is>
          <t>1410</t>
        </is>
      </c>
      <c r="D755" s="44" t="inlineStr">
        <is>
          <t>Donatello e a escultura nova</t>
        </is>
      </c>
      <c r="E755" s="44" t="inlineStr">
        <is>
          <t>Museu do Bargello, Florença</t>
        </is>
      </c>
      <c r="F755" s="45" t="inlineStr">
        <is>
          <t>Pendente</t>
        </is>
      </c>
      <c r="G755" s="45" t="n">
        <v>1410</v>
      </c>
      <c r="H755" s="43" t="n">
        <v>708</v>
      </c>
      <c r="I755" s="46">
        <f>IF(H755=0,DATE(2026,10,29),IF(H755=1,DATE(2026,10,30),DATE(2026,11,2)+7*INT((H755-2)/3)+CHOOSE(MOD(H755-2,3)+1,0,2,4)))</f>
        <v/>
      </c>
    </row>
    <row r="756" ht="15" customHeight="1" s="24">
      <c r="A756" s="43" t="n">
        <v>755</v>
      </c>
      <c r="B756" s="44" t="inlineStr">
        <is>
          <t>Renascimento (1401–1527)</t>
        </is>
      </c>
      <c r="C756" s="45" t="inlineStr">
        <is>
          <t>1417</t>
        </is>
      </c>
      <c r="D756" s="44" t="inlineStr">
        <is>
          <t>O fim do Grande Cisma</t>
        </is>
      </c>
      <c r="E756" s="44" t="inlineStr">
        <is>
          <t>A definir (Roma)</t>
        </is>
      </c>
      <c r="F756" s="45" t="inlineStr">
        <is>
          <t>Pendente</t>
        </is>
      </c>
      <c r="G756" s="45" t="n">
        <v>1417</v>
      </c>
      <c r="H756" s="43" t="n">
        <v>709</v>
      </c>
      <c r="I756" s="46">
        <f>IF(H756=0,DATE(2026,10,29),IF(H756=1,DATE(2026,10,30),DATE(2026,11,2)+7*INT((H756-2)/3)+CHOOSE(MOD(H756-2,3)+1,0,2,4)))</f>
        <v/>
      </c>
    </row>
    <row r="757" ht="15" customHeight="1" s="24">
      <c r="A757" s="43" t="n">
        <v>756</v>
      </c>
      <c r="B757" s="44" t="inlineStr">
        <is>
          <t>Renascimento (1401–1527)</t>
        </is>
      </c>
      <c r="C757" s="45" t="inlineStr">
        <is>
          <t>1420</t>
        </is>
      </c>
      <c r="D757" s="44" t="inlineStr">
        <is>
          <t>Brunelleschi e a cúpula do Duomo</t>
        </is>
      </c>
      <c r="E757" s="44" t="inlineStr">
        <is>
          <t>Cúpula de Brunelleschi, Florença</t>
        </is>
      </c>
      <c r="F757" s="45" t="inlineStr">
        <is>
          <t>Pendente</t>
        </is>
      </c>
      <c r="G757" s="45" t="n">
        <v>1420</v>
      </c>
      <c r="H757" s="43" t="n">
        <v>710</v>
      </c>
      <c r="I757" s="46">
        <f>IF(H757=0,DATE(2026,10,29),IF(H757=1,DATE(2026,10,30),DATE(2026,11,2)+7*INT((H757-2)/3)+CHOOSE(MOD(H757-2,3)+1,0,2,4)))</f>
        <v/>
      </c>
    </row>
    <row r="758" ht="15" customHeight="1" s="24">
      <c r="A758" s="43" t="n">
        <v>757</v>
      </c>
      <c r="B758" s="44" t="inlineStr">
        <is>
          <t>Renascimento (1401–1527)</t>
        </is>
      </c>
      <c r="C758" s="45" t="inlineStr">
        <is>
          <t>1423</t>
        </is>
      </c>
      <c r="D758" s="44" t="inlineStr">
        <is>
          <t>Gentile da Fabriano e a Adoração dos Magos</t>
        </is>
      </c>
      <c r="E758" s="44" t="inlineStr">
        <is>
          <t>Galeria Uffizi, Florença</t>
        </is>
      </c>
      <c r="F758" s="45" t="inlineStr">
        <is>
          <t>Pendente</t>
        </is>
      </c>
      <c r="G758" s="45" t="n">
        <v>1423</v>
      </c>
      <c r="H758" s="43" t="n">
        <v>711</v>
      </c>
      <c r="I758" s="46">
        <f>IF(H758=0,DATE(2026,10,29),IF(H758=1,DATE(2026,10,30),DATE(2026,11,2)+7*INT((H758-2)/3)+CHOOSE(MOD(H758-2,3)+1,0,2,4)))</f>
        <v/>
      </c>
    </row>
    <row r="759" ht="15" customHeight="1" s="24">
      <c r="A759" s="43" t="n">
        <v>758</v>
      </c>
      <c r="B759" s="44" t="inlineStr">
        <is>
          <t>Renascimento (1401–1527)</t>
        </is>
      </c>
      <c r="C759" s="45" t="inlineStr">
        <is>
          <t>1425</t>
        </is>
      </c>
      <c r="D759" s="44" t="inlineStr">
        <is>
          <t>Masaccio e a perspectiva</t>
        </is>
      </c>
      <c r="E759" s="44" t="inlineStr">
        <is>
          <t>Santa Maria del Carmine, Florença</t>
        </is>
      </c>
      <c r="F759" s="45" t="inlineStr">
        <is>
          <t>Pendente</t>
        </is>
      </c>
      <c r="G759" s="45" t="n">
        <v>1425</v>
      </c>
      <c r="H759" s="43" t="n">
        <v>712</v>
      </c>
      <c r="I759" s="46">
        <f>IF(H759=0,DATE(2026,10,29),IF(H759=1,DATE(2026,10,30),DATE(2026,11,2)+7*INT((H759-2)/3)+CHOOSE(MOD(H759-2,3)+1,0,2,4)))</f>
        <v/>
      </c>
    </row>
    <row r="760" ht="15" customHeight="1" s="24">
      <c r="A760" s="43" t="n">
        <v>759</v>
      </c>
      <c r="B760" s="44" t="inlineStr">
        <is>
          <t>Renascimento (1401–1527)</t>
        </is>
      </c>
      <c r="C760" s="45" t="inlineStr">
        <is>
          <t>1431</t>
        </is>
      </c>
      <c r="D760" s="44" t="inlineStr">
        <is>
          <t>Eugênio IV e Roma em ruínas</t>
        </is>
      </c>
      <c r="E760" s="44" t="inlineStr">
        <is>
          <t>A definir (Roma)</t>
        </is>
      </c>
      <c r="F760" s="45" t="inlineStr">
        <is>
          <t>Pendente</t>
        </is>
      </c>
      <c r="G760" s="45" t="n">
        <v>1431</v>
      </c>
      <c r="H760" s="43" t="n">
        <v>713</v>
      </c>
      <c r="I760" s="46">
        <f>IF(H760=0,DATE(2026,10,29),IF(H760=1,DATE(2026,10,30),DATE(2026,11,2)+7*INT((H760-2)/3)+CHOOSE(MOD(H760-2,3)+1,0,2,4)))</f>
        <v/>
      </c>
    </row>
    <row r="761" ht="15" customHeight="1" s="24">
      <c r="A761" s="43" t="n">
        <v>760</v>
      </c>
      <c r="B761" s="44" t="inlineStr">
        <is>
          <t>Renascimento (1401–1527)</t>
        </is>
      </c>
      <c r="C761" s="45" t="inlineStr">
        <is>
          <t>1434</t>
        </is>
      </c>
      <c r="D761" s="44" t="inlineStr">
        <is>
          <t>Cosimo de' Medici volta a Florença</t>
        </is>
      </c>
      <c r="E761" s="44" t="inlineStr">
        <is>
          <t>Palácio Medici Riccardi, Florença</t>
        </is>
      </c>
      <c r="F761" s="45" t="inlineStr">
        <is>
          <t>Pendente</t>
        </is>
      </c>
      <c r="G761" s="45" t="n">
        <v>1434</v>
      </c>
      <c r="H761" s="43" t="n">
        <v>714</v>
      </c>
      <c r="I761" s="46">
        <f>IF(H761=0,DATE(2026,10,29),IF(H761=1,DATE(2026,10,30),DATE(2026,11,2)+7*INT((H761-2)/3)+CHOOSE(MOD(H761-2,3)+1,0,2,4)))</f>
        <v/>
      </c>
    </row>
    <row r="762" ht="15" customHeight="1" s="24">
      <c r="A762" s="43" t="n">
        <v>761</v>
      </c>
      <c r="B762" s="44" t="inlineStr">
        <is>
          <t>Renascimento (1401–1527)</t>
        </is>
      </c>
      <c r="C762" s="45" t="inlineStr">
        <is>
          <t>1436</t>
        </is>
      </c>
      <c r="D762" s="44" t="inlineStr">
        <is>
          <t>A cúpula é consagrada</t>
        </is>
      </c>
      <c r="E762" s="44" t="inlineStr">
        <is>
          <t>Duomo de Florença</t>
        </is>
      </c>
      <c r="F762" s="45" t="inlineStr">
        <is>
          <t>Pendente</t>
        </is>
      </c>
      <c r="G762" s="45" t="n">
        <v>1436</v>
      </c>
      <c r="H762" s="43" t="n">
        <v>715</v>
      </c>
      <c r="I762" s="46">
        <f>IF(H762=0,DATE(2026,10,29),IF(H762=1,DATE(2026,10,30),DATE(2026,11,2)+7*INT((H762-2)/3)+CHOOSE(MOD(H762-2,3)+1,0,2,4)))</f>
        <v/>
      </c>
    </row>
    <row r="763" ht="15" customHeight="1" s="24">
      <c r="A763" s="43" t="n">
        <v>762</v>
      </c>
      <c r="B763" s="44" t="inlineStr">
        <is>
          <t>Renascimento (1401–1527)</t>
        </is>
      </c>
      <c r="C763" s="45" t="inlineStr">
        <is>
          <t>1439</t>
        </is>
      </c>
      <c r="D763" s="44" t="inlineStr">
        <is>
          <t>O Concílio de Florença</t>
        </is>
      </c>
      <c r="E763" s="44" t="inlineStr">
        <is>
          <t>Santa Maria Novella, Florença</t>
        </is>
      </c>
      <c r="F763" s="45" t="inlineStr">
        <is>
          <t>Pendente</t>
        </is>
      </c>
      <c r="G763" s="45" t="n">
        <v>1439</v>
      </c>
      <c r="H763" s="43" t="n">
        <v>716</v>
      </c>
      <c r="I763" s="46">
        <f>IF(H763=0,DATE(2026,10,29),IF(H763=1,DATE(2026,10,30),DATE(2026,11,2)+7*INT((H763-2)/3)+CHOOSE(MOD(H763-2,3)+1,0,2,4)))</f>
        <v/>
      </c>
    </row>
    <row r="764" ht="15" customHeight="1" s="24">
      <c r="A764" s="43" t="n">
        <v>763</v>
      </c>
      <c r="B764" s="44" t="inlineStr">
        <is>
          <t>Renascimento (1401–1527)</t>
        </is>
      </c>
      <c r="C764" s="45" t="inlineStr">
        <is>
          <t>1440</t>
        </is>
      </c>
      <c r="D764" s="44" t="inlineStr">
        <is>
          <t>Fra Angelico e o Convento de São Marcos</t>
        </is>
      </c>
      <c r="E764" s="44" t="inlineStr">
        <is>
          <t>Convento de São Marcos, Florença</t>
        </is>
      </c>
      <c r="F764" s="45" t="inlineStr">
        <is>
          <t>Pendente</t>
        </is>
      </c>
      <c r="G764" s="45" t="n">
        <v>1440</v>
      </c>
      <c r="H764" s="43" t="n">
        <v>717</v>
      </c>
      <c r="I764" s="46">
        <f>IF(H764=0,DATE(2026,10,29),IF(H764=1,DATE(2026,10,30),DATE(2026,11,2)+7*INT((H764-2)/3)+CHOOSE(MOD(H764-2,3)+1,0,2,4)))</f>
        <v/>
      </c>
    </row>
    <row r="765" ht="15" customHeight="1" s="24">
      <c r="A765" s="43" t="n">
        <v>764</v>
      </c>
      <c r="B765" s="44" t="inlineStr">
        <is>
          <t>Renascimento (1401–1527)</t>
        </is>
      </c>
      <c r="C765" s="45" t="inlineStr">
        <is>
          <t>1447</t>
        </is>
      </c>
      <c r="D765" s="44" t="inlineStr">
        <is>
          <t>Nicolau V e a Biblioteca Vaticana</t>
        </is>
      </c>
      <c r="E765" s="44" t="inlineStr">
        <is>
          <t>Biblioteca Apostólica Vaticana, Roma</t>
        </is>
      </c>
      <c r="F765" s="45" t="inlineStr">
        <is>
          <t>Pendente</t>
        </is>
      </c>
      <c r="G765" s="45" t="n">
        <v>1447</v>
      </c>
      <c r="H765" s="43" t="n">
        <v>718</v>
      </c>
      <c r="I765" s="46">
        <f>IF(H765=0,DATE(2026,10,29),IF(H765=1,DATE(2026,10,30),DATE(2026,11,2)+7*INT((H765-2)/3)+CHOOSE(MOD(H765-2,3)+1,0,2,4)))</f>
        <v/>
      </c>
    </row>
    <row r="766" ht="15" customHeight="1" s="24">
      <c r="A766" s="43" t="n">
        <v>765</v>
      </c>
      <c r="B766" s="44" t="inlineStr">
        <is>
          <t>Renascimento (1401–1527)</t>
        </is>
      </c>
      <c r="C766" s="45" t="inlineStr">
        <is>
          <t>1450</t>
        </is>
      </c>
      <c r="D766" s="44" t="inlineStr">
        <is>
          <t>Alberti e a teoria da arquitetura</t>
        </is>
      </c>
      <c r="E766" s="44" t="inlineStr">
        <is>
          <t>Santa Maria Novella, Florença</t>
        </is>
      </c>
      <c r="F766" s="45" t="inlineStr">
        <is>
          <t>Pendente</t>
        </is>
      </c>
      <c r="G766" s="45" t="n">
        <v>1450</v>
      </c>
      <c r="H766" s="43" t="n">
        <v>719</v>
      </c>
      <c r="I766" s="46">
        <f>IF(H766=0,DATE(2026,10,29),IF(H766=1,DATE(2026,10,30),DATE(2026,11,2)+7*INT((H766-2)/3)+CHOOSE(MOD(H766-2,3)+1,0,2,4)))</f>
        <v/>
      </c>
    </row>
    <row r="767" ht="15" customHeight="1" s="24">
      <c r="A767" s="43" t="n">
        <v>766</v>
      </c>
      <c r="B767" s="44" t="inlineStr">
        <is>
          <t>Renascimento (1401–1527)</t>
        </is>
      </c>
      <c r="C767" s="45" t="inlineStr">
        <is>
          <t>1450</t>
        </is>
      </c>
      <c r="D767" s="44" t="inlineStr">
        <is>
          <t>Francesco Sforza em Milão</t>
        </is>
      </c>
      <c r="E767" s="44" t="inlineStr">
        <is>
          <t>Castelo Sforzesco, Milão</t>
        </is>
      </c>
      <c r="F767" s="45" t="inlineStr">
        <is>
          <t>Pendente</t>
        </is>
      </c>
      <c r="G767" s="45" t="n">
        <v>1450</v>
      </c>
      <c r="H767" s="43" t="n">
        <v>720</v>
      </c>
      <c r="I767" s="46">
        <f>IF(H767=0,DATE(2026,10,29),IF(H767=1,DATE(2026,10,30),DATE(2026,11,2)+7*INT((H767-2)/3)+CHOOSE(MOD(H767-2,3)+1,0,2,4)))</f>
        <v/>
      </c>
    </row>
    <row r="768" ht="15" customHeight="1" s="24">
      <c r="A768" s="43" t="n">
        <v>767</v>
      </c>
      <c r="B768" s="44" t="inlineStr">
        <is>
          <t>Renascimento (1401–1527)</t>
        </is>
      </c>
      <c r="C768" s="45" t="inlineStr">
        <is>
          <t>1452</t>
        </is>
      </c>
      <c r="D768" s="44" t="inlineStr">
        <is>
          <t>Leonardo da Vinci nasce em Vinci</t>
        </is>
      </c>
      <c r="E768" s="44" t="inlineStr">
        <is>
          <t>Vinci</t>
        </is>
      </c>
      <c r="F768" s="45" t="inlineStr">
        <is>
          <t>Pendente</t>
        </is>
      </c>
      <c r="G768" s="45" t="n">
        <v>1452</v>
      </c>
      <c r="H768" s="43" t="n">
        <v>721</v>
      </c>
      <c r="I768" s="46">
        <f>IF(H768=0,DATE(2026,10,29),IF(H768=1,DATE(2026,10,30),DATE(2026,11,2)+7*INT((H768-2)/3)+CHOOSE(MOD(H768-2,3)+1,0,2,4)))</f>
        <v/>
      </c>
    </row>
    <row r="769" ht="15" customHeight="1" s="24">
      <c r="A769" s="43" t="n">
        <v>768</v>
      </c>
      <c r="B769" s="44" t="inlineStr">
        <is>
          <t>Renascimento (1401–1527)</t>
        </is>
      </c>
      <c r="C769" s="45" t="inlineStr">
        <is>
          <t>1453</t>
        </is>
      </c>
      <c r="D769" s="44" t="inlineStr">
        <is>
          <t>A queda de Constantinopla e a Itália</t>
        </is>
      </c>
      <c r="E769" s="44" t="inlineStr">
        <is>
          <t>Veneza</t>
        </is>
      </c>
      <c r="F769" s="45" t="inlineStr">
        <is>
          <t>Pendente</t>
        </is>
      </c>
      <c r="G769" s="45" t="n">
        <v>1453</v>
      </c>
      <c r="H769" s="43" t="n">
        <v>722</v>
      </c>
      <c r="I769" s="46">
        <f>IF(H769=0,DATE(2026,10,29),IF(H769=1,DATE(2026,10,30),DATE(2026,11,2)+7*INT((H769-2)/3)+CHOOSE(MOD(H769-2,3)+1,0,2,4)))</f>
        <v/>
      </c>
    </row>
    <row r="770" ht="15" customHeight="1" s="24">
      <c r="A770" s="43" t="n">
        <v>769</v>
      </c>
      <c r="B770" s="44" t="inlineStr">
        <is>
          <t>Renascimento (1401–1527)</t>
        </is>
      </c>
      <c r="C770" s="45" t="inlineStr">
        <is>
          <t>1454</t>
        </is>
      </c>
      <c r="D770" s="44" t="inlineStr">
        <is>
          <t>A Paz de Lodi</t>
        </is>
      </c>
      <c r="E770" s="44" t="inlineStr">
        <is>
          <t>Milão</t>
        </is>
      </c>
      <c r="F770" s="45" t="inlineStr">
        <is>
          <t>Pendente</t>
        </is>
      </c>
      <c r="G770" s="45" t="n">
        <v>1454</v>
      </c>
      <c r="H770" s="43" t="n">
        <v>723</v>
      </c>
      <c r="I770" s="46">
        <f>IF(H770=0,DATE(2026,10,29),IF(H770=1,DATE(2026,10,30),DATE(2026,11,2)+7*INT((H770-2)/3)+CHOOSE(MOD(H770-2,3)+1,0,2,4)))</f>
        <v/>
      </c>
    </row>
    <row r="771" ht="15" customHeight="1" s="24">
      <c r="A771" s="43" t="n">
        <v>770</v>
      </c>
      <c r="B771" s="44" t="inlineStr">
        <is>
          <t>Renascimento (1401–1527)</t>
        </is>
      </c>
      <c r="C771" s="45" t="inlineStr">
        <is>
          <t>1459</t>
        </is>
      </c>
      <c r="D771" s="44" t="inlineStr">
        <is>
          <t>Pio II e a cidade ideal de Pienza</t>
        </is>
      </c>
      <c r="E771" s="44" t="inlineStr">
        <is>
          <t>Pienza</t>
        </is>
      </c>
      <c r="F771" s="45" t="inlineStr">
        <is>
          <t>Pendente</t>
        </is>
      </c>
      <c r="G771" s="45" t="n">
        <v>1459</v>
      </c>
      <c r="H771" s="43" t="n">
        <v>724</v>
      </c>
      <c r="I771" s="46">
        <f>IF(H771=0,DATE(2026,10,29),IF(H771=1,DATE(2026,10,30),DATE(2026,11,2)+7*INT((H771-2)/3)+CHOOSE(MOD(H771-2,3)+1,0,2,4)))</f>
        <v/>
      </c>
    </row>
    <row r="772" ht="15" customHeight="1" s="24">
      <c r="A772" s="43" t="n">
        <v>771</v>
      </c>
      <c r="B772" s="44" t="inlineStr">
        <is>
          <t>Renascimento (1401–1527)</t>
        </is>
      </c>
      <c r="C772" s="45" t="inlineStr">
        <is>
          <t>1465</t>
        </is>
      </c>
      <c r="D772" s="44" t="inlineStr">
        <is>
          <t>A imprensa em Subiaco e Roma</t>
        </is>
      </c>
      <c r="E772" s="44" t="inlineStr">
        <is>
          <t>Subiaco</t>
        </is>
      </c>
      <c r="F772" s="45" t="inlineStr">
        <is>
          <t>Pendente</t>
        </is>
      </c>
      <c r="G772" s="45" t="n">
        <v>1465</v>
      </c>
      <c r="H772" s="43" t="n">
        <v>725</v>
      </c>
      <c r="I772" s="46">
        <f>IF(H772=0,DATE(2026,10,29),IF(H772=1,DATE(2026,10,30),DATE(2026,11,2)+7*INT((H772-2)/3)+CHOOSE(MOD(H772-2,3)+1,0,2,4)))</f>
        <v/>
      </c>
    </row>
    <row r="773" ht="15" customHeight="1" s="24">
      <c r="A773" s="43" t="n">
        <v>772</v>
      </c>
      <c r="B773" s="44" t="inlineStr">
        <is>
          <t>Renascimento (1401–1527)</t>
        </is>
      </c>
      <c r="C773" s="45" t="inlineStr">
        <is>
          <t>1469</t>
        </is>
      </c>
      <c r="D773" s="44" t="inlineStr">
        <is>
          <t>Lourenço, o Magnífico</t>
        </is>
      </c>
      <c r="E773" s="44" t="inlineStr">
        <is>
          <t>Palazzo Medici Riccardi, Florença</t>
        </is>
      </c>
      <c r="F773" s="45" t="inlineStr">
        <is>
          <t>Pendente</t>
        </is>
      </c>
      <c r="G773" s="45" t="n">
        <v>1469</v>
      </c>
      <c r="H773" s="43" t="n">
        <v>726</v>
      </c>
      <c r="I773" s="46">
        <f>IF(H773=0,DATE(2026,10,29),IF(H773=1,DATE(2026,10,30),DATE(2026,11,2)+7*INT((H773-2)/3)+CHOOSE(MOD(H773-2,3)+1,0,2,4)))</f>
        <v/>
      </c>
    </row>
    <row r="774" ht="15" customHeight="1" s="24">
      <c r="A774" s="43" t="n">
        <v>773</v>
      </c>
      <c r="B774" s="44" t="inlineStr">
        <is>
          <t>Renascimento (1401–1527)</t>
        </is>
      </c>
      <c r="C774" s="45" t="inlineStr">
        <is>
          <t>1471</t>
        </is>
      </c>
      <c r="D774" s="44" t="inlineStr">
        <is>
          <t>Sisto IV e a renovação de Roma</t>
        </is>
      </c>
      <c r="E774" s="44" t="inlineStr">
        <is>
          <t>A definir (Roma)</t>
        </is>
      </c>
      <c r="F774" s="45" t="inlineStr">
        <is>
          <t>Pendente</t>
        </is>
      </c>
      <c r="G774" s="45" t="n">
        <v>1471</v>
      </c>
      <c r="H774" s="43" t="n">
        <v>727</v>
      </c>
      <c r="I774" s="46">
        <f>IF(H774=0,DATE(2026,10,29),IF(H774=1,DATE(2026,10,30),DATE(2026,11,2)+7*INT((H774-2)/3)+CHOOSE(MOD(H774-2,3)+1,0,2,4)))</f>
        <v/>
      </c>
    </row>
    <row r="775" ht="15" customHeight="1" s="24">
      <c r="A775" s="43" t="n">
        <v>774</v>
      </c>
      <c r="B775" s="44" t="inlineStr">
        <is>
          <t>Renascimento (1401–1527)</t>
        </is>
      </c>
      <c r="C775" s="45" t="inlineStr">
        <is>
          <t>1473</t>
        </is>
      </c>
      <c r="D775" s="44" t="inlineStr">
        <is>
          <t>A Capela Sistina é iniciada</t>
        </is>
      </c>
      <c r="E775" s="44" t="inlineStr">
        <is>
          <t>Capela Sistina, Vaticano</t>
        </is>
      </c>
      <c r="F775" s="45" t="inlineStr">
        <is>
          <t>Pendente</t>
        </is>
      </c>
      <c r="G775" s="45" t="n">
        <v>1473</v>
      </c>
      <c r="H775" s="43" t="n">
        <v>728</v>
      </c>
      <c r="I775" s="46">
        <f>IF(H775=0,DATE(2026,10,29),IF(H775=1,DATE(2026,10,30),DATE(2026,11,2)+7*INT((H775-2)/3)+CHOOSE(MOD(H775-2,3)+1,0,2,4)))</f>
        <v/>
      </c>
    </row>
    <row r="776" ht="15" customHeight="1" s="24">
      <c r="A776" s="43" t="n">
        <v>775</v>
      </c>
      <c r="B776" s="44" t="inlineStr">
        <is>
          <t>Renascimento (1401–1527)</t>
        </is>
      </c>
      <c r="C776" s="45" t="inlineStr">
        <is>
          <t>1474</t>
        </is>
      </c>
      <c r="D776" s="44" t="inlineStr">
        <is>
          <t>Mantegna e a Câmara dos Esposos</t>
        </is>
      </c>
      <c r="E776" s="44" t="inlineStr">
        <is>
          <t>Palácio Ducal, Mântua</t>
        </is>
      </c>
      <c r="F776" s="45" t="inlineStr">
        <is>
          <t>Pendente</t>
        </is>
      </c>
      <c r="G776" s="45" t="n">
        <v>1474</v>
      </c>
      <c r="H776" s="43" t="n">
        <v>729</v>
      </c>
      <c r="I776" s="46">
        <f>IF(H776=0,DATE(2026,10,29),IF(H776=1,DATE(2026,10,30),DATE(2026,11,2)+7*INT((H776-2)/3)+CHOOSE(MOD(H776-2,3)+1,0,2,4)))</f>
        <v/>
      </c>
    </row>
    <row r="777" ht="15" customHeight="1" s="24">
      <c r="A777" s="43" t="n">
        <v>776</v>
      </c>
      <c r="B777" s="44" t="inlineStr">
        <is>
          <t>Renascimento (1401–1527)</t>
        </is>
      </c>
      <c r="C777" s="45" t="inlineStr">
        <is>
          <t>1475</t>
        </is>
      </c>
      <c r="D777" s="44" t="inlineStr">
        <is>
          <t>Michelangelo nasce em Caprese</t>
        </is>
      </c>
      <c r="E777" s="44" t="inlineStr">
        <is>
          <t>Caprese Michelangelo</t>
        </is>
      </c>
      <c r="F777" s="45" t="inlineStr">
        <is>
          <t>Pendente</t>
        </is>
      </c>
      <c r="G777" s="45" t="n">
        <v>1475</v>
      </c>
      <c r="H777" s="43" t="n">
        <v>730</v>
      </c>
      <c r="I777" s="46">
        <f>IF(H777=0,DATE(2026,10,29),IF(H777=1,DATE(2026,10,30),DATE(2026,11,2)+7*INT((H777-2)/3)+CHOOSE(MOD(H777-2,3)+1,0,2,4)))</f>
        <v/>
      </c>
    </row>
    <row r="778" ht="15" customHeight="1" s="24">
      <c r="A778" s="43" t="n">
        <v>777</v>
      </c>
      <c r="B778" s="44" t="inlineStr">
        <is>
          <t>Renascimento (1401–1527)</t>
        </is>
      </c>
      <c r="C778" s="45" t="inlineStr">
        <is>
          <t>1478</t>
        </is>
      </c>
      <c r="D778" s="44" t="inlineStr">
        <is>
          <t>A Conspiração dos Pazzi</t>
        </is>
      </c>
      <c r="E778" s="44" t="inlineStr">
        <is>
          <t>Duomo de Florença</t>
        </is>
      </c>
      <c r="F778" s="45" t="inlineStr">
        <is>
          <t>Pendente</t>
        </is>
      </c>
      <c r="G778" s="45" t="n">
        <v>1478</v>
      </c>
      <c r="H778" s="43" t="n">
        <v>731</v>
      </c>
      <c r="I778" s="46">
        <f>IF(H778=0,DATE(2026,10,29),IF(H778=1,DATE(2026,10,30),DATE(2026,11,2)+7*INT((H778-2)/3)+CHOOSE(MOD(H778-2,3)+1,0,2,4)))</f>
        <v/>
      </c>
    </row>
    <row r="779" ht="15" customHeight="1" s="24">
      <c r="A779" s="43" t="n">
        <v>778</v>
      </c>
      <c r="B779" s="44" t="inlineStr">
        <is>
          <t>Renascimento (1401–1527)</t>
        </is>
      </c>
      <c r="C779" s="45" t="inlineStr">
        <is>
          <t>1480</t>
        </is>
      </c>
      <c r="D779" s="44" t="inlineStr">
        <is>
          <t>A Domus Aurea redescoberta e os grotescos</t>
        </is>
      </c>
      <c r="E779" s="44" t="inlineStr">
        <is>
          <t>Domus Aurea, Roma</t>
        </is>
      </c>
      <c r="F779" s="45" t="inlineStr">
        <is>
          <t>Pendente</t>
        </is>
      </c>
      <c r="G779" s="45" t="n">
        <v>1480</v>
      </c>
      <c r="H779" s="43" t="n">
        <v>732</v>
      </c>
      <c r="I779" s="46">
        <f>IF(H779=0,DATE(2026,10,29),IF(H779=1,DATE(2026,10,30),DATE(2026,11,2)+7*INT((H779-2)/3)+CHOOSE(MOD(H779-2,3)+1,0,2,4)))</f>
        <v/>
      </c>
    </row>
    <row r="780" ht="15" customHeight="1" s="24">
      <c r="A780" s="43" t="n">
        <v>779</v>
      </c>
      <c r="B780" s="44" t="inlineStr">
        <is>
          <t>Renascimento (1401–1527)</t>
        </is>
      </c>
      <c r="C780" s="45" t="inlineStr">
        <is>
          <t>1481</t>
        </is>
      </c>
      <c r="D780" s="44" t="inlineStr">
        <is>
          <t>Os afrescos da Capela Sistina</t>
        </is>
      </c>
      <c r="E780" s="44" t="inlineStr">
        <is>
          <t>Capela Sistina, Vaticano</t>
        </is>
      </c>
      <c r="F780" s="45" t="inlineStr">
        <is>
          <t>Pendente</t>
        </is>
      </c>
      <c r="G780" s="45" t="n">
        <v>1481</v>
      </c>
      <c r="H780" s="43" t="n">
        <v>733</v>
      </c>
      <c r="I780" s="46">
        <f>IF(H780=0,DATE(2026,10,29),IF(H780=1,DATE(2026,10,30),DATE(2026,11,2)+7*INT((H780-2)/3)+CHOOSE(MOD(H780-2,3)+1,0,2,4)))</f>
        <v/>
      </c>
    </row>
    <row r="781" ht="15" customHeight="1" s="24">
      <c r="A781" s="43" t="n">
        <v>780</v>
      </c>
      <c r="B781" s="44" t="inlineStr">
        <is>
          <t>Renascimento (1401–1527)</t>
        </is>
      </c>
      <c r="C781" s="45" t="inlineStr">
        <is>
          <t>1482</t>
        </is>
      </c>
      <c r="D781" s="44" t="inlineStr">
        <is>
          <t>Ludovico, o Mouro, em Milão</t>
        </is>
      </c>
      <c r="E781" s="44" t="inlineStr">
        <is>
          <t>Castelo Sforzesco, Milão</t>
        </is>
      </c>
      <c r="F781" s="45" t="inlineStr">
        <is>
          <t>Pendente</t>
        </is>
      </c>
      <c r="G781" s="45" t="n">
        <v>1482</v>
      </c>
      <c r="H781" s="43" t="n">
        <v>734</v>
      </c>
      <c r="I781" s="46">
        <f>IF(H781=0,DATE(2026,10,29),IF(H781=1,DATE(2026,10,30),DATE(2026,11,2)+7*INT((H781-2)/3)+CHOOSE(MOD(H781-2,3)+1,0,2,4)))</f>
        <v/>
      </c>
    </row>
    <row r="782" ht="15" customHeight="1" s="24">
      <c r="A782" s="43" t="n">
        <v>781</v>
      </c>
      <c r="B782" s="44" t="inlineStr">
        <is>
          <t>Renascimento (1401–1527)</t>
        </is>
      </c>
      <c r="C782" s="45" t="inlineStr">
        <is>
          <t>1483</t>
        </is>
      </c>
      <c r="D782" s="44" t="inlineStr">
        <is>
          <t>Rafael nasce em Urbino</t>
        </is>
      </c>
      <c r="E782" s="44" t="inlineStr">
        <is>
          <t>Urbino</t>
        </is>
      </c>
      <c r="F782" s="45" t="inlineStr">
        <is>
          <t>Pendente</t>
        </is>
      </c>
      <c r="G782" s="45" t="n">
        <v>1483</v>
      </c>
      <c r="H782" s="43" t="n">
        <v>735</v>
      </c>
      <c r="I782" s="46">
        <f>IF(H782=0,DATE(2026,10,29),IF(H782=1,DATE(2026,10,30),DATE(2026,11,2)+7*INT((H782-2)/3)+CHOOSE(MOD(H782-2,3)+1,0,2,4)))</f>
        <v/>
      </c>
    </row>
    <row r="783" ht="15" customHeight="1" s="24">
      <c r="A783" s="43" t="n">
        <v>782</v>
      </c>
      <c r="B783" s="44" t="inlineStr">
        <is>
          <t>Renascimento (1401–1527)</t>
        </is>
      </c>
      <c r="C783" s="45" t="inlineStr">
        <is>
          <t>1484</t>
        </is>
      </c>
      <c r="D783" s="44" t="inlineStr">
        <is>
          <t>Inocêncio VIII</t>
        </is>
      </c>
      <c r="E783" s="44" t="inlineStr">
        <is>
          <t>A definir (Roma)</t>
        </is>
      </c>
      <c r="F783" s="45" t="inlineStr">
        <is>
          <t>Pendente</t>
        </is>
      </c>
      <c r="G783" s="45" t="n">
        <v>1484</v>
      </c>
      <c r="H783" s="43" t="n">
        <v>736</v>
      </c>
      <c r="I783" s="46">
        <f>IF(H783=0,DATE(2026,10,29),IF(H783=1,DATE(2026,10,30),DATE(2026,11,2)+7*INT((H783-2)/3)+CHOOSE(MOD(H783-2,3)+1,0,2,4)))</f>
        <v/>
      </c>
    </row>
    <row r="784" ht="15" customHeight="1" s="24">
      <c r="A784" s="43" t="n">
        <v>783</v>
      </c>
      <c r="B784" s="44" t="inlineStr">
        <is>
          <t>Renascimento (1401–1527)</t>
        </is>
      </c>
      <c r="C784" s="45" t="inlineStr">
        <is>
          <t>1485</t>
        </is>
      </c>
      <c r="D784" s="44" t="inlineStr">
        <is>
          <t>O Nascimento de Vênus de Botticelli</t>
        </is>
      </c>
      <c r="E784" s="44" t="inlineStr">
        <is>
          <t>Galeria Uffizi, Florença</t>
        </is>
      </c>
      <c r="F784" s="45" t="inlineStr">
        <is>
          <t>Pendente</t>
        </is>
      </c>
      <c r="G784" s="45" t="n">
        <v>1485</v>
      </c>
      <c r="H784" s="43" t="n">
        <v>737</v>
      </c>
      <c r="I784" s="46">
        <f>IF(H784=0,DATE(2026,10,29),IF(H784=1,DATE(2026,10,30),DATE(2026,11,2)+7*INT((H784-2)/3)+CHOOSE(MOD(H784-2,3)+1,0,2,4)))</f>
        <v/>
      </c>
    </row>
    <row r="785" ht="15" customHeight="1" s="24">
      <c r="A785" s="43" t="n">
        <v>784</v>
      </c>
      <c r="B785" s="44" t="inlineStr">
        <is>
          <t>Renascimento (1401–1527)</t>
        </is>
      </c>
      <c r="C785" s="45" t="inlineStr">
        <is>
          <t>1486</t>
        </is>
      </c>
      <c r="D785" s="44" t="inlineStr">
        <is>
          <t>Pico della Mirandola e a dignidade humana</t>
        </is>
      </c>
      <c r="E785" s="44" t="inlineStr">
        <is>
          <t>Florença</t>
        </is>
      </c>
      <c r="F785" s="45" t="inlineStr">
        <is>
          <t>Pendente</t>
        </is>
      </c>
      <c r="G785" s="45" t="n">
        <v>1486</v>
      </c>
      <c r="H785" s="43" t="n">
        <v>738</v>
      </c>
      <c r="I785" s="46">
        <f>IF(H785=0,DATE(2026,10,29),IF(H785=1,DATE(2026,10,30),DATE(2026,11,2)+7*INT((H785-2)/3)+CHOOSE(MOD(H785-2,3)+1,0,2,4)))</f>
        <v/>
      </c>
    </row>
    <row r="786" ht="15" customHeight="1" s="24">
      <c r="A786" s="43" t="n">
        <v>785</v>
      </c>
      <c r="B786" s="44" t="inlineStr">
        <is>
          <t>Renascimento (1401–1527)</t>
        </is>
      </c>
      <c r="C786" s="45" t="inlineStr">
        <is>
          <t>1490</t>
        </is>
      </c>
      <c r="D786" s="44" t="inlineStr">
        <is>
          <t>O Homem Vitruviano</t>
        </is>
      </c>
      <c r="E786" s="44" t="inlineStr">
        <is>
          <t>Gallerie dell'Accademia, Veneza</t>
        </is>
      </c>
      <c r="F786" s="45" t="inlineStr">
        <is>
          <t>Pendente</t>
        </is>
      </c>
      <c r="G786" s="45" t="n">
        <v>1490</v>
      </c>
      <c r="H786" s="43" t="n">
        <v>739</v>
      </c>
      <c r="I786" s="46">
        <f>IF(H786=0,DATE(2026,10,29),IF(H786=1,DATE(2026,10,30),DATE(2026,11,2)+7*INT((H786-2)/3)+CHOOSE(MOD(H786-2,3)+1,0,2,4)))</f>
        <v/>
      </c>
    </row>
    <row r="787" ht="15" customHeight="1" s="24">
      <c r="A787" s="43" t="n">
        <v>786</v>
      </c>
      <c r="B787" s="44" t="inlineStr">
        <is>
          <t>Renascimento (1401–1527)</t>
        </is>
      </c>
      <c r="C787" s="45" t="inlineStr">
        <is>
          <t>1492</t>
        </is>
      </c>
      <c r="D787" s="44" t="inlineStr">
        <is>
          <t>Colombo e os genoveses</t>
        </is>
      </c>
      <c r="E787" s="44" t="inlineStr">
        <is>
          <t>Gênova</t>
        </is>
      </c>
      <c r="F787" s="45" t="inlineStr">
        <is>
          <t>Pendente</t>
        </is>
      </c>
      <c r="G787" s="45" t="n">
        <v>1492</v>
      </c>
      <c r="H787" s="43" t="n">
        <v>740</v>
      </c>
      <c r="I787" s="46">
        <f>IF(H787=0,DATE(2026,10,29),IF(H787=1,DATE(2026,10,30),DATE(2026,11,2)+7*INT((H787-2)/3)+CHOOSE(MOD(H787-2,3)+1,0,2,4)))</f>
        <v/>
      </c>
    </row>
    <row r="788" ht="15" customHeight="1" s="24">
      <c r="A788" s="43" t="n">
        <v>787</v>
      </c>
      <c r="B788" s="44" t="inlineStr">
        <is>
          <t>Renascimento (1401–1527)</t>
        </is>
      </c>
      <c r="C788" s="45" t="inlineStr">
        <is>
          <t>1492</t>
        </is>
      </c>
      <c r="D788" s="44" t="inlineStr">
        <is>
          <t>Alexandre VI Borgia</t>
        </is>
      </c>
      <c r="E788" s="44" t="inlineStr">
        <is>
          <t>A definir (Roma)</t>
        </is>
      </c>
      <c r="F788" s="45" t="inlineStr">
        <is>
          <t>Pendente</t>
        </is>
      </c>
      <c r="G788" s="45" t="n">
        <v>1492</v>
      </c>
      <c r="H788" s="43" t="n">
        <v>741</v>
      </c>
      <c r="I788" s="46">
        <f>IF(H788=0,DATE(2026,10,29),IF(H788=1,DATE(2026,10,30),DATE(2026,11,2)+7*INT((H788-2)/3)+CHOOSE(MOD(H788-2,3)+1,0,2,4)))</f>
        <v/>
      </c>
    </row>
    <row r="789" ht="15" customHeight="1" s="24">
      <c r="A789" s="43" t="n">
        <v>788</v>
      </c>
      <c r="B789" s="44" t="inlineStr">
        <is>
          <t>Renascimento (1401–1527)</t>
        </is>
      </c>
      <c r="C789" s="45" t="inlineStr">
        <is>
          <t>1492</t>
        </is>
      </c>
      <c r="D789" s="44" t="inlineStr">
        <is>
          <t>A morte de Lourenço, o Magnífico</t>
        </is>
      </c>
      <c r="E789" s="44" t="inlineStr">
        <is>
          <t>Villa Medici de Careggi, Florença</t>
        </is>
      </c>
      <c r="F789" s="45" t="inlineStr">
        <is>
          <t>Pendente</t>
        </is>
      </c>
      <c r="G789" s="45" t="n">
        <v>1492</v>
      </c>
      <c r="H789" s="43" t="n">
        <v>742</v>
      </c>
      <c r="I789" s="46">
        <f>IF(H789=0,DATE(2026,10,29),IF(H789=1,DATE(2026,10,30),DATE(2026,11,2)+7*INT((H789-2)/3)+CHOOSE(MOD(H789-2,3)+1,0,2,4)))</f>
        <v/>
      </c>
    </row>
    <row r="790" ht="15" customHeight="1" s="24">
      <c r="A790" s="43" t="n">
        <v>789</v>
      </c>
      <c r="B790" s="44" t="inlineStr">
        <is>
          <t>Renascimento (1401–1527)</t>
        </is>
      </c>
      <c r="C790" s="45" t="inlineStr">
        <is>
          <t>1494</t>
        </is>
      </c>
      <c r="D790" s="44" t="inlineStr">
        <is>
          <t>Carlos VIII invade a Itália</t>
        </is>
      </c>
      <c r="E790" s="44" t="inlineStr">
        <is>
          <t>Florença</t>
        </is>
      </c>
      <c r="F790" s="45" t="inlineStr">
        <is>
          <t>Pendente</t>
        </is>
      </c>
      <c r="G790" s="45" t="n">
        <v>1494</v>
      </c>
      <c r="H790" s="43" t="n">
        <v>743</v>
      </c>
      <c r="I790" s="46">
        <f>IF(H790=0,DATE(2026,10,29),IF(H790=1,DATE(2026,10,30),DATE(2026,11,2)+7*INT((H790-2)/3)+CHOOSE(MOD(H790-2,3)+1,0,2,4)))</f>
        <v/>
      </c>
    </row>
    <row r="791" ht="15" customHeight="1" s="24">
      <c r="A791" s="43" t="n">
        <v>790</v>
      </c>
      <c r="B791" s="44" t="inlineStr">
        <is>
          <t>Renascimento (1401–1527)</t>
        </is>
      </c>
      <c r="C791" s="45" t="inlineStr">
        <is>
          <t>1494</t>
        </is>
      </c>
      <c r="D791" s="44" t="inlineStr">
        <is>
          <t>Savonarola e a Fogueira das Vaidades</t>
        </is>
      </c>
      <c r="E791" s="44" t="inlineStr">
        <is>
          <t>Praça da Senhoria, Florença</t>
        </is>
      </c>
      <c r="F791" s="45" t="inlineStr">
        <is>
          <t>Pendente</t>
        </is>
      </c>
      <c r="G791" s="45" t="n">
        <v>1494</v>
      </c>
      <c r="H791" s="43" t="n">
        <v>744</v>
      </c>
      <c r="I791" s="46">
        <f>IF(H791=0,DATE(2026,10,29),IF(H791=1,DATE(2026,10,30),DATE(2026,11,2)+7*INT((H791-2)/3)+CHOOSE(MOD(H791-2,3)+1,0,2,4)))</f>
        <v/>
      </c>
    </row>
    <row r="792" ht="15" customHeight="1" s="24">
      <c r="A792" s="43" t="n">
        <v>791</v>
      </c>
      <c r="B792" s="44" t="inlineStr">
        <is>
          <t>Renascimento (1401–1527)</t>
        </is>
      </c>
      <c r="C792" s="45" t="inlineStr">
        <is>
          <t>1495</t>
        </is>
      </c>
      <c r="D792" s="44" t="inlineStr">
        <is>
          <t>A Última Ceia de Leonardo</t>
        </is>
      </c>
      <c r="E792" s="44" t="inlineStr">
        <is>
          <t>Santa Maria delle Grazie, Milão</t>
        </is>
      </c>
      <c r="F792" s="45" t="inlineStr">
        <is>
          <t>Pendente</t>
        </is>
      </c>
      <c r="G792" s="45" t="n">
        <v>1495</v>
      </c>
      <c r="H792" s="43" t="n">
        <v>745</v>
      </c>
      <c r="I792" s="46">
        <f>IF(H792=0,DATE(2026,10,29),IF(H792=1,DATE(2026,10,30),DATE(2026,11,2)+7*INT((H792-2)/3)+CHOOSE(MOD(H792-2,3)+1,0,2,4)))</f>
        <v/>
      </c>
    </row>
    <row r="793" ht="15" customHeight="1" s="24">
      <c r="A793" s="43" t="n">
        <v>792</v>
      </c>
      <c r="B793" s="44" t="inlineStr">
        <is>
          <t>Renascimento (1401–1527)</t>
        </is>
      </c>
      <c r="C793" s="45" t="inlineStr">
        <is>
          <t>1495</t>
        </is>
      </c>
      <c r="D793" s="44" t="inlineStr">
        <is>
          <t>Aldo Manúcio e a imprensa em Veneza</t>
        </is>
      </c>
      <c r="E793" s="44" t="inlineStr">
        <is>
          <t>Veneza</t>
        </is>
      </c>
      <c r="F793" s="45" t="inlineStr">
        <is>
          <t>Pendente</t>
        </is>
      </c>
      <c r="G793" s="45" t="n">
        <v>1495</v>
      </c>
      <c r="H793" s="43" t="n">
        <v>746</v>
      </c>
      <c r="I793" s="46">
        <f>IF(H793=0,DATE(2026,10,29),IF(H793=1,DATE(2026,10,30),DATE(2026,11,2)+7*INT((H793-2)/3)+CHOOSE(MOD(H793-2,3)+1,0,2,4)))</f>
        <v/>
      </c>
    </row>
    <row r="794" ht="15" customHeight="1" s="24">
      <c r="A794" s="43" t="n">
        <v>793</v>
      </c>
      <c r="B794" s="44" t="inlineStr">
        <is>
          <t>Renascimento (1401–1527)</t>
        </is>
      </c>
      <c r="C794" s="45" t="inlineStr">
        <is>
          <t>1497</t>
        </is>
      </c>
      <c r="D794" s="44" t="inlineStr">
        <is>
          <t>Cabot e os venezianos</t>
        </is>
      </c>
      <c r="E794" s="44" t="inlineStr">
        <is>
          <t>Veneza</t>
        </is>
      </c>
      <c r="F794" s="45" t="inlineStr">
        <is>
          <t>Pendente</t>
        </is>
      </c>
      <c r="G794" s="45" t="n">
        <v>1497</v>
      </c>
      <c r="H794" s="43" t="n">
        <v>747</v>
      </c>
      <c r="I794" s="46">
        <f>IF(H794=0,DATE(2026,10,29),IF(H794=1,DATE(2026,10,30),DATE(2026,11,2)+7*INT((H794-2)/3)+CHOOSE(MOD(H794-2,3)+1,0,2,4)))</f>
        <v/>
      </c>
    </row>
    <row r="795" ht="15" customHeight="1" s="24">
      <c r="A795" s="43" t="n">
        <v>794</v>
      </c>
      <c r="B795" s="44" t="inlineStr">
        <is>
          <t>Renascimento (1401–1527)</t>
        </is>
      </c>
      <c r="C795" s="45" t="inlineStr">
        <is>
          <t>1498</t>
        </is>
      </c>
      <c r="D795" s="44" t="inlineStr">
        <is>
          <t>A morte de Savonarola</t>
        </is>
      </c>
      <c r="E795" s="44" t="inlineStr">
        <is>
          <t>Praça da Senhoria, Florença</t>
        </is>
      </c>
      <c r="F795" s="45" t="inlineStr">
        <is>
          <t>Pendente</t>
        </is>
      </c>
      <c r="G795" s="45" t="n">
        <v>1498</v>
      </c>
      <c r="H795" s="43" t="n">
        <v>748</v>
      </c>
      <c r="I795" s="46">
        <f>IF(H795=0,DATE(2026,10,29),IF(H795=1,DATE(2026,10,30),DATE(2026,11,2)+7*INT((H795-2)/3)+CHOOSE(MOD(H795-2,3)+1,0,2,4)))</f>
        <v/>
      </c>
    </row>
    <row r="796" ht="15" customHeight="1" s="24">
      <c r="A796" s="43" t="n">
        <v>795</v>
      </c>
      <c r="B796" s="44" t="inlineStr">
        <is>
          <t>Renascimento (1401–1527)</t>
        </is>
      </c>
      <c r="C796" s="45" t="inlineStr">
        <is>
          <t>1499</t>
        </is>
      </c>
      <c r="D796" s="44" t="inlineStr">
        <is>
          <t>A Pietà de Michelangelo</t>
        </is>
      </c>
      <c r="E796" s="44" t="inlineStr">
        <is>
          <t>Basílica de São Pedro, Vaticano</t>
        </is>
      </c>
      <c r="F796" s="45" t="inlineStr">
        <is>
          <t>Pendente</t>
        </is>
      </c>
      <c r="G796" s="45" t="n">
        <v>1499</v>
      </c>
      <c r="H796" s="43" t="n">
        <v>749</v>
      </c>
      <c r="I796" s="46">
        <f>IF(H796=0,DATE(2026,10,29),IF(H796=1,DATE(2026,10,30),DATE(2026,11,2)+7*INT((H796-2)/3)+CHOOSE(MOD(H796-2,3)+1,0,2,4)))</f>
        <v/>
      </c>
    </row>
    <row r="797" ht="15" customHeight="1" s="24">
      <c r="A797" s="43" t="n">
        <v>796</v>
      </c>
      <c r="B797" s="44" t="inlineStr">
        <is>
          <t>Renascimento (1401–1527)</t>
        </is>
      </c>
      <c r="C797" s="45" t="inlineStr">
        <is>
          <t>1500</t>
        </is>
      </c>
      <c r="D797" s="44" t="inlineStr">
        <is>
          <t>O Jubileu de 1500</t>
        </is>
      </c>
      <c r="E797" s="44" t="inlineStr">
        <is>
          <t>São Pedro, Roma</t>
        </is>
      </c>
      <c r="F797" s="45" t="inlineStr">
        <is>
          <t>Pendente</t>
        </is>
      </c>
      <c r="G797" s="45" t="n">
        <v>1500</v>
      </c>
      <c r="H797" s="43" t="n">
        <v>750</v>
      </c>
      <c r="I797" s="46">
        <f>IF(H797=0,DATE(2026,10,29),IF(H797=1,DATE(2026,10,30),DATE(2026,11,2)+7*INT((H797-2)/3)+CHOOSE(MOD(H797-2,3)+1,0,2,4)))</f>
        <v/>
      </c>
    </row>
    <row r="798" ht="15" customHeight="1" s="24">
      <c r="A798" s="43" t="n">
        <v>797</v>
      </c>
      <c r="B798" s="44" t="inlineStr">
        <is>
          <t>Renascimento (1401–1527)</t>
        </is>
      </c>
      <c r="C798" s="45" t="inlineStr">
        <is>
          <t>1501</t>
        </is>
      </c>
      <c r="D798" s="44" t="inlineStr">
        <is>
          <t>O Davi de Michelangelo</t>
        </is>
      </c>
      <c r="E798" s="44" t="inlineStr">
        <is>
          <t>Galleria dell'Accademia, Florença</t>
        </is>
      </c>
      <c r="F798" s="45" t="inlineStr">
        <is>
          <t>Pendente</t>
        </is>
      </c>
      <c r="G798" s="45" t="n">
        <v>1501</v>
      </c>
      <c r="H798" s="43" t="n">
        <v>751</v>
      </c>
      <c r="I798" s="46">
        <f>IF(H798=0,DATE(2026,10,29),IF(H798=1,DATE(2026,10,30),DATE(2026,11,2)+7*INT((H798-2)/3)+CHOOSE(MOD(H798-2,3)+1,0,2,4)))</f>
        <v/>
      </c>
    </row>
    <row r="799" ht="15" customHeight="1" s="24">
      <c r="A799" s="43" t="n">
        <v>798</v>
      </c>
      <c r="B799" s="44" t="inlineStr">
        <is>
          <t>Renascimento (1401–1527)</t>
        </is>
      </c>
      <c r="C799" s="45" t="inlineStr">
        <is>
          <t>1501</t>
        </is>
      </c>
      <c r="D799" s="44" t="inlineStr">
        <is>
          <t>Pasquino: a estátua que fala</t>
        </is>
      </c>
      <c r="E799" s="44" t="inlineStr">
        <is>
          <t>Piazza di Pasquino, Roma</t>
        </is>
      </c>
      <c r="F799" s="45" t="inlineStr">
        <is>
          <t>Pendente</t>
        </is>
      </c>
      <c r="G799" s="45" t="n">
        <v>1501</v>
      </c>
      <c r="H799" s="43" t="n">
        <v>752</v>
      </c>
      <c r="I799" s="46">
        <f>IF(H799=0,DATE(2026,10,29),IF(H799=1,DATE(2026,10,30),DATE(2026,11,2)+7*INT((H799-2)/3)+CHOOSE(MOD(H799-2,3)+1,0,2,4)))</f>
        <v/>
      </c>
    </row>
    <row r="800" ht="15" customHeight="1" s="24">
      <c r="A800" s="43" t="n">
        <v>799</v>
      </c>
      <c r="B800" s="44" t="inlineStr">
        <is>
          <t>Renascimento (1401–1527)</t>
        </is>
      </c>
      <c r="C800" s="45" t="inlineStr">
        <is>
          <t>1502</t>
        </is>
      </c>
      <c r="D800" s="44" t="inlineStr">
        <is>
          <t>César Bórgia</t>
        </is>
      </c>
      <c r="E800" s="44" t="inlineStr">
        <is>
          <t>Castel Sant'Angelo, Roma</t>
        </is>
      </c>
      <c r="F800" s="45" t="inlineStr">
        <is>
          <t>Pendente</t>
        </is>
      </c>
      <c r="G800" s="45" t="n">
        <v>1502</v>
      </c>
      <c r="H800" s="43" t="n">
        <v>753</v>
      </c>
      <c r="I800" s="46">
        <f>IF(H800=0,DATE(2026,10,29),IF(H800=1,DATE(2026,10,30),DATE(2026,11,2)+7*INT((H800-2)/3)+CHOOSE(MOD(H800-2,3)+1,0,2,4)))</f>
        <v/>
      </c>
    </row>
    <row r="801" ht="15" customHeight="1" s="24">
      <c r="A801" s="43" t="n">
        <v>800</v>
      </c>
      <c r="B801" s="44" t="inlineStr">
        <is>
          <t>Renascimento (1401–1527)</t>
        </is>
      </c>
      <c r="C801" s="45" t="inlineStr">
        <is>
          <t>1502</t>
        </is>
      </c>
      <c r="D801" s="44" t="inlineStr">
        <is>
          <t>O Tempietto de Bramante</t>
        </is>
      </c>
      <c r="E801" s="44" t="inlineStr">
        <is>
          <t>Tempietto, San Pietro in Montorio, Roma</t>
        </is>
      </c>
      <c r="F801" s="45" t="inlineStr">
        <is>
          <t>Pendente</t>
        </is>
      </c>
      <c r="G801" s="45" t="n">
        <v>1502</v>
      </c>
      <c r="H801" s="43" t="n">
        <v>754</v>
      </c>
      <c r="I801" s="46">
        <f>IF(H801=0,DATE(2026,10,29),IF(H801=1,DATE(2026,10,30),DATE(2026,11,2)+7*INT((H801-2)/3)+CHOOSE(MOD(H801-2,3)+1,0,2,4)))</f>
        <v/>
      </c>
    </row>
    <row r="802" ht="15" customHeight="1" s="24">
      <c r="A802" s="43" t="n">
        <v>801</v>
      </c>
      <c r="B802" s="44" t="inlineStr">
        <is>
          <t>Renascimento (1401–1527)</t>
        </is>
      </c>
      <c r="C802" s="45" t="inlineStr">
        <is>
          <t>1503</t>
        </is>
      </c>
      <c r="D802" s="44" t="inlineStr">
        <is>
          <t>Júlio II: o papa guerreiro</t>
        </is>
      </c>
      <c r="E802" s="44" t="inlineStr">
        <is>
          <t>A definir (Roma)</t>
        </is>
      </c>
      <c r="F802" s="45" t="inlineStr">
        <is>
          <t>Pendente</t>
        </is>
      </c>
      <c r="G802" s="45" t="n">
        <v>1503</v>
      </c>
      <c r="H802" s="43" t="n">
        <v>755</v>
      </c>
      <c r="I802" s="46">
        <f>IF(H802=0,DATE(2026,10,29),IF(H802=1,DATE(2026,10,30),DATE(2026,11,2)+7*INT((H802-2)/3)+CHOOSE(MOD(H802-2,3)+1,0,2,4)))</f>
        <v/>
      </c>
    </row>
    <row r="803" ht="15" customHeight="1" s="24">
      <c r="A803" s="43" t="n">
        <v>802</v>
      </c>
      <c r="B803" s="44" t="inlineStr">
        <is>
          <t>Renascimento (1401–1527)</t>
        </is>
      </c>
      <c r="C803" s="45" t="inlineStr">
        <is>
          <t>1503</t>
        </is>
      </c>
      <c r="D803" s="44" t="inlineStr">
        <is>
          <t>A Mona Lisa</t>
        </is>
      </c>
      <c r="E803" s="44" t="inlineStr">
        <is>
          <t>Florença</t>
        </is>
      </c>
      <c r="F803" s="45" t="inlineStr">
        <is>
          <t>Pendente</t>
        </is>
      </c>
      <c r="G803" s="45" t="n">
        <v>1503</v>
      </c>
      <c r="H803" s="43" t="n">
        <v>756</v>
      </c>
      <c r="I803" s="46">
        <f>IF(H803=0,DATE(2026,10,29),IF(H803=1,DATE(2026,10,30),DATE(2026,11,2)+7*INT((H803-2)/3)+CHOOSE(MOD(H803-2,3)+1,0,2,4)))</f>
        <v/>
      </c>
    </row>
    <row r="804" ht="15" customHeight="1" s="24">
      <c r="A804" s="43" t="n">
        <v>803</v>
      </c>
      <c r="B804" s="44" t="inlineStr">
        <is>
          <t>Renascimento (1401–1527)</t>
        </is>
      </c>
      <c r="C804" s="45" t="inlineStr">
        <is>
          <t>1504</t>
        </is>
      </c>
      <c r="D804" s="44" t="inlineStr">
        <is>
          <t>O Davi e o debate da Praça</t>
        </is>
      </c>
      <c r="E804" s="44" t="inlineStr">
        <is>
          <t>Florença</t>
        </is>
      </c>
      <c r="F804" s="45" t="inlineStr">
        <is>
          <t>Pendente</t>
        </is>
      </c>
      <c r="G804" s="45" t="n">
        <v>1504</v>
      </c>
      <c r="H804" s="43" t="n">
        <v>757</v>
      </c>
      <c r="I804" s="46">
        <f>IF(H804=0,DATE(2026,10,29),IF(H804=1,DATE(2026,10,30),DATE(2026,11,2)+7*INT((H804-2)/3)+CHOOSE(MOD(H804-2,3)+1,0,2,4)))</f>
        <v/>
      </c>
    </row>
    <row r="805" ht="15" customHeight="1" s="24">
      <c r="A805" s="43" t="n">
        <v>804</v>
      </c>
      <c r="B805" s="44" t="inlineStr">
        <is>
          <t>Renascimento (1401–1527)</t>
        </is>
      </c>
      <c r="C805" s="45" t="inlineStr">
        <is>
          <t>1505</t>
        </is>
      </c>
      <c r="D805" s="44" t="inlineStr">
        <is>
          <t>O túmulo de Júlio II</t>
        </is>
      </c>
      <c r="E805" s="44" t="inlineStr">
        <is>
          <t>San Pietro in Vincoli, Roma</t>
        </is>
      </c>
      <c r="F805" s="45" t="inlineStr">
        <is>
          <t>Pendente</t>
        </is>
      </c>
      <c r="G805" s="45" t="n">
        <v>1505</v>
      </c>
      <c r="H805" s="43" t="n">
        <v>758</v>
      </c>
      <c r="I805" s="46">
        <f>IF(H805=0,DATE(2026,10,29),IF(H805=1,DATE(2026,10,30),DATE(2026,11,2)+7*INT((H805-2)/3)+CHOOSE(MOD(H805-2,3)+1,0,2,4)))</f>
        <v/>
      </c>
    </row>
    <row r="806" ht="15" customHeight="1" s="24">
      <c r="A806" s="43" t="n">
        <v>805</v>
      </c>
      <c r="B806" s="44" t="inlineStr">
        <is>
          <t>Renascimento (1401–1527)</t>
        </is>
      </c>
      <c r="C806" s="45" t="inlineStr">
        <is>
          <t>1506</t>
        </is>
      </c>
      <c r="D806" s="44" t="inlineStr">
        <is>
          <t>A Guarda Suíça</t>
        </is>
      </c>
      <c r="E806" s="44" t="inlineStr">
        <is>
          <t>Vaticano, Roma</t>
        </is>
      </c>
      <c r="F806" s="45" t="inlineStr">
        <is>
          <t>Pendente</t>
        </is>
      </c>
      <c r="G806" s="45" t="n">
        <v>1506</v>
      </c>
      <c r="H806" s="43" t="n">
        <v>759</v>
      </c>
      <c r="I806" s="46">
        <f>IF(H806=0,DATE(2026,10,29),IF(H806=1,DATE(2026,10,30),DATE(2026,11,2)+7*INT((H806-2)/3)+CHOOSE(MOD(H806-2,3)+1,0,2,4)))</f>
        <v/>
      </c>
    </row>
    <row r="807" ht="15" customHeight="1" s="24">
      <c r="A807" s="43" t="n">
        <v>806</v>
      </c>
      <c r="B807" s="44" t="inlineStr">
        <is>
          <t>Renascimento (1401–1527)</t>
        </is>
      </c>
      <c r="C807" s="45" t="inlineStr">
        <is>
          <t>1506</t>
        </is>
      </c>
      <c r="D807" s="44" t="inlineStr">
        <is>
          <t>A descoberta do Laocoonte</t>
        </is>
      </c>
      <c r="E807" s="44" t="inlineStr">
        <is>
          <t>Museus do Vaticano, Roma</t>
        </is>
      </c>
      <c r="F807" s="45" t="inlineStr">
        <is>
          <t>Pendente</t>
        </is>
      </c>
      <c r="G807" s="45" t="n">
        <v>1506</v>
      </c>
      <c r="H807" s="43" t="n">
        <v>760</v>
      </c>
      <c r="I807" s="46">
        <f>IF(H807=0,DATE(2026,10,29),IF(H807=1,DATE(2026,10,30),DATE(2026,11,2)+7*INT((H807-2)/3)+CHOOSE(MOD(H807-2,3)+1,0,2,4)))</f>
        <v/>
      </c>
    </row>
    <row r="808" ht="15" customHeight="1" s="24">
      <c r="A808" s="43" t="n">
        <v>807</v>
      </c>
      <c r="B808" s="44" t="inlineStr">
        <is>
          <t>Renascimento (1401–1527)</t>
        </is>
      </c>
      <c r="C808" s="45" t="inlineStr">
        <is>
          <t>1506</t>
        </is>
      </c>
      <c r="D808" s="44" t="inlineStr">
        <is>
          <t>A nova Basílica de São Pedro</t>
        </is>
      </c>
      <c r="E808" s="44" t="inlineStr">
        <is>
          <t>Basílica de São Pedro, Roma</t>
        </is>
      </c>
      <c r="F808" s="45" t="inlineStr">
        <is>
          <t>Pendente</t>
        </is>
      </c>
      <c r="G808" s="45" t="n">
        <v>1506</v>
      </c>
      <c r="H808" s="43" t="n">
        <v>761</v>
      </c>
      <c r="I808" s="46">
        <f>IF(H808=0,DATE(2026,10,29),IF(H808=1,DATE(2026,10,30),DATE(2026,11,2)+7*INT((H808-2)/3)+CHOOSE(MOD(H808-2,3)+1,0,2,4)))</f>
        <v/>
      </c>
    </row>
    <row r="809" ht="15" customHeight="1" s="24">
      <c r="A809" s="43" t="n">
        <v>808</v>
      </c>
      <c r="B809" s="44" t="inlineStr">
        <is>
          <t>Renascimento (1401–1527)</t>
        </is>
      </c>
      <c r="C809" s="45" t="inlineStr">
        <is>
          <t>1508</t>
        </is>
      </c>
      <c r="D809" s="44" t="inlineStr">
        <is>
          <t>O teto da Capela Sistina</t>
        </is>
      </c>
      <c r="E809" s="44" t="inlineStr">
        <is>
          <t>Capela Sistina, Vaticano</t>
        </is>
      </c>
      <c r="F809" s="45" t="inlineStr">
        <is>
          <t>Pendente</t>
        </is>
      </c>
      <c r="G809" s="45" t="n">
        <v>1508</v>
      </c>
      <c r="H809" s="43" t="n">
        <v>762</v>
      </c>
      <c r="I809" s="46">
        <f>IF(H809=0,DATE(2026,10,29),IF(H809=1,DATE(2026,10,30),DATE(2026,11,2)+7*INT((H809-2)/3)+CHOOSE(MOD(H809-2,3)+1,0,2,4)))</f>
        <v/>
      </c>
    </row>
    <row r="810" ht="15" customHeight="1" s="24">
      <c r="A810" s="43" t="n">
        <v>809</v>
      </c>
      <c r="B810" s="44" t="inlineStr">
        <is>
          <t>Renascimento (1401–1527)</t>
        </is>
      </c>
      <c r="C810" s="45" t="inlineStr">
        <is>
          <t>1508</t>
        </is>
      </c>
      <c r="D810" s="44" t="inlineStr">
        <is>
          <t>Rafael chega a Roma</t>
        </is>
      </c>
      <c r="E810" s="44" t="inlineStr">
        <is>
          <t>Stanze de Rafael, Vaticano</t>
        </is>
      </c>
      <c r="F810" s="45" t="inlineStr">
        <is>
          <t>Pendente</t>
        </is>
      </c>
      <c r="G810" s="45" t="n">
        <v>1508</v>
      </c>
      <c r="H810" s="43" t="n">
        <v>763</v>
      </c>
      <c r="I810" s="46">
        <f>IF(H810=0,DATE(2026,10,29),IF(H810=1,DATE(2026,10,30),DATE(2026,11,2)+7*INT((H810-2)/3)+CHOOSE(MOD(H810-2,3)+1,0,2,4)))</f>
        <v/>
      </c>
    </row>
    <row r="811" ht="15" customHeight="1" s="24">
      <c r="A811" s="43" t="n">
        <v>810</v>
      </c>
      <c r="B811" s="44" t="inlineStr">
        <is>
          <t>Renascimento (1401–1527)</t>
        </is>
      </c>
      <c r="C811" s="45" t="inlineStr">
        <is>
          <t>1510</t>
        </is>
      </c>
      <c r="D811" s="44" t="inlineStr">
        <is>
          <t>A Escola de Atenas</t>
        </is>
      </c>
      <c r="E811" s="44" t="inlineStr">
        <is>
          <t>Stanze de Rafael, Vaticano</t>
        </is>
      </c>
      <c r="F811" s="45" t="inlineStr">
        <is>
          <t>Pendente</t>
        </is>
      </c>
      <c r="G811" s="45" t="n">
        <v>1510</v>
      </c>
      <c r="H811" s="43" t="n">
        <v>764</v>
      </c>
      <c r="I811" s="46">
        <f>IF(H811=0,DATE(2026,10,29),IF(H811=1,DATE(2026,10,30),DATE(2026,11,2)+7*INT((H811-2)/3)+CHOOSE(MOD(H811-2,3)+1,0,2,4)))</f>
        <v/>
      </c>
    </row>
    <row r="812" ht="15" customHeight="1" s="24">
      <c r="A812" s="43" t="n">
        <v>811</v>
      </c>
      <c r="B812" s="44" t="inlineStr">
        <is>
          <t>Renascimento (1401–1527)</t>
        </is>
      </c>
      <c r="C812" s="45" t="inlineStr">
        <is>
          <t>1511</t>
        </is>
      </c>
      <c r="D812" s="44" t="inlineStr">
        <is>
          <t>A Villa Farnesina</t>
        </is>
      </c>
      <c r="E812" s="44" t="inlineStr">
        <is>
          <t>Villa Farnesina, Roma</t>
        </is>
      </c>
      <c r="F812" s="45" t="inlineStr">
        <is>
          <t>Pendente</t>
        </is>
      </c>
      <c r="G812" s="45" t="n">
        <v>1511</v>
      </c>
      <c r="H812" s="43" t="n">
        <v>765</v>
      </c>
      <c r="I812" s="46">
        <f>IF(H812=0,DATE(2026,10,29),IF(H812=1,DATE(2026,10,30),DATE(2026,11,2)+7*INT((H812-2)/3)+CHOOSE(MOD(H812-2,3)+1,0,2,4)))</f>
        <v/>
      </c>
    </row>
    <row r="813" ht="15" customHeight="1" s="24">
      <c r="A813" s="43" t="n">
        <v>812</v>
      </c>
      <c r="B813" s="44" t="inlineStr">
        <is>
          <t>Renascimento (1401–1527)</t>
        </is>
      </c>
      <c r="C813" s="45" t="inlineStr">
        <is>
          <t>1512</t>
        </is>
      </c>
      <c r="D813" s="44" t="inlineStr">
        <is>
          <t>A Galateia de Rafael</t>
        </is>
      </c>
      <c r="E813" s="44" t="inlineStr">
        <is>
          <t>Villa Farnesina, Roma</t>
        </is>
      </c>
      <c r="F813" s="45" t="inlineStr">
        <is>
          <t>Pendente</t>
        </is>
      </c>
      <c r="G813" s="45" t="n">
        <v>1512</v>
      </c>
      <c r="H813" s="43" t="n">
        <v>766</v>
      </c>
      <c r="I813" s="46">
        <f>IF(H813=0,DATE(2026,10,29),IF(H813=1,DATE(2026,10,30),DATE(2026,11,2)+7*INT((H813-2)/3)+CHOOSE(MOD(H813-2,3)+1,0,2,4)))</f>
        <v/>
      </c>
    </row>
    <row r="814" ht="15" customHeight="1" s="24">
      <c r="A814" s="43" t="n">
        <v>813</v>
      </c>
      <c r="B814" s="44" t="inlineStr">
        <is>
          <t>Renascimento (1401–1527)</t>
        </is>
      </c>
      <c r="C814" s="45" t="inlineStr">
        <is>
          <t>1513</t>
        </is>
      </c>
      <c r="D814" s="44" t="inlineStr">
        <is>
          <t>Leão X: o papa Médici</t>
        </is>
      </c>
      <c r="E814" s="44" t="inlineStr">
        <is>
          <t>A definir (Roma)</t>
        </is>
      </c>
      <c r="F814" s="45" t="inlineStr">
        <is>
          <t>Pendente</t>
        </is>
      </c>
      <c r="G814" s="45" t="n">
        <v>1513</v>
      </c>
      <c r="H814" s="43" t="n">
        <v>767</v>
      </c>
      <c r="I814" s="46">
        <f>IF(H814=0,DATE(2026,10,29),IF(H814=1,DATE(2026,10,30),DATE(2026,11,2)+7*INT((H814-2)/3)+CHOOSE(MOD(H814-2,3)+1,0,2,4)))</f>
        <v/>
      </c>
    </row>
    <row r="815" ht="23.85" customHeight="1" s="24">
      <c r="A815" s="43" t="n">
        <v>814</v>
      </c>
      <c r="B815" s="44" t="inlineStr">
        <is>
          <t>Renascimento (1401–1527)</t>
        </is>
      </c>
      <c r="C815" s="45" t="inlineStr">
        <is>
          <t>1513</t>
        </is>
      </c>
      <c r="D815" s="44" t="inlineStr">
        <is>
          <t>O Príncipe de Maquiavel</t>
        </is>
      </c>
      <c r="E815" s="44" t="inlineStr">
        <is>
          <t>Casa de Maquiavel, Sant'Andrea in Percussina</t>
        </is>
      </c>
      <c r="F815" s="45" t="inlineStr">
        <is>
          <t>Pendente</t>
        </is>
      </c>
      <c r="G815" s="45" t="n">
        <v>1513</v>
      </c>
      <c r="H815" s="43" t="n">
        <v>768</v>
      </c>
      <c r="I815" s="46">
        <f>IF(H815=0,DATE(2026,10,29),IF(H815=1,DATE(2026,10,30),DATE(2026,11,2)+7*INT((H815-2)/3)+CHOOSE(MOD(H815-2,3)+1,0,2,4)))</f>
        <v/>
      </c>
    </row>
    <row r="816" ht="15" customHeight="1" s="24">
      <c r="A816" s="43" t="n">
        <v>815</v>
      </c>
      <c r="B816" s="44" t="inlineStr">
        <is>
          <t>Renascimento (1401–1527)</t>
        </is>
      </c>
      <c r="C816" s="45" t="inlineStr">
        <is>
          <t>1514</t>
        </is>
      </c>
      <c r="D816" s="44" t="inlineStr">
        <is>
          <t>Rafael, arquiteto de São Pedro</t>
        </is>
      </c>
      <c r="E816" s="44" t="inlineStr">
        <is>
          <t>Basílica de São Pedro, Vaticano</t>
        </is>
      </c>
      <c r="F816" s="45" t="inlineStr">
        <is>
          <t>Pendente</t>
        </is>
      </c>
      <c r="G816" s="45" t="n">
        <v>1514</v>
      </c>
      <c r="H816" s="43" t="n">
        <v>769</v>
      </c>
      <c r="I816" s="46">
        <f>IF(H816=0,DATE(2026,10,29),IF(H816=1,DATE(2026,10,30),DATE(2026,11,2)+7*INT((H816-2)/3)+CHOOSE(MOD(H816-2,3)+1,0,2,4)))</f>
        <v/>
      </c>
    </row>
    <row r="817" ht="15" customHeight="1" s="24">
      <c r="A817" s="43" t="n">
        <v>816</v>
      </c>
      <c r="B817" s="44" t="inlineStr">
        <is>
          <t>Renascimento (1401–1527)</t>
        </is>
      </c>
      <c r="C817" s="45" t="inlineStr">
        <is>
          <t>1515</t>
        </is>
      </c>
      <c r="D817" s="44" t="inlineStr">
        <is>
          <t>O Moisés de Michelangelo</t>
        </is>
      </c>
      <c r="E817" s="44" t="inlineStr">
        <is>
          <t>San Pietro in Vincoli, Roma</t>
        </is>
      </c>
      <c r="F817" s="45" t="inlineStr">
        <is>
          <t>Pendente</t>
        </is>
      </c>
      <c r="G817" s="45" t="n">
        <v>1515</v>
      </c>
      <c r="H817" s="43" t="n">
        <v>770</v>
      </c>
      <c r="I817" s="46">
        <f>IF(H817=0,DATE(2026,10,29),IF(H817=1,DATE(2026,10,30),DATE(2026,11,2)+7*INT((H817-2)/3)+CHOOSE(MOD(H817-2,3)+1,0,2,4)))</f>
        <v/>
      </c>
    </row>
    <row r="818" ht="15" customHeight="1" s="24">
      <c r="A818" s="43" t="n">
        <v>817</v>
      </c>
      <c r="B818" s="44" t="inlineStr">
        <is>
          <t>Renascimento (1401–1527)</t>
        </is>
      </c>
      <c r="C818" s="45" t="inlineStr">
        <is>
          <t>1516</t>
        </is>
      </c>
      <c r="D818" s="44" t="inlineStr">
        <is>
          <t>Orlando Furioso</t>
        </is>
      </c>
      <c r="E818" s="44" t="inlineStr">
        <is>
          <t>Ferrara</t>
        </is>
      </c>
      <c r="F818" s="45" t="inlineStr">
        <is>
          <t>Pendente</t>
        </is>
      </c>
      <c r="G818" s="45" t="n">
        <v>1516</v>
      </c>
      <c r="H818" s="43" t="n">
        <v>771</v>
      </c>
      <c r="I818" s="46">
        <f>IF(H818=0,DATE(2026,10,29),IF(H818=1,DATE(2026,10,30),DATE(2026,11,2)+7*INT((H818-2)/3)+CHOOSE(MOD(H818-2,3)+1,0,2,4)))</f>
        <v/>
      </c>
    </row>
    <row r="819" ht="15" customHeight="1" s="24">
      <c r="A819" s="43" t="n">
        <v>818</v>
      </c>
      <c r="B819" s="44" t="inlineStr">
        <is>
          <t>Renascimento (1401–1527)</t>
        </is>
      </c>
      <c r="C819" s="45" t="inlineStr">
        <is>
          <t>1517</t>
        </is>
      </c>
      <c r="D819" s="44" t="inlineStr">
        <is>
          <t>Lutero e as indulgências</t>
        </is>
      </c>
      <c r="E819" s="44" t="inlineStr">
        <is>
          <t>A definir (Roma)</t>
        </is>
      </c>
      <c r="F819" s="45" t="inlineStr">
        <is>
          <t>Pendente</t>
        </is>
      </c>
      <c r="G819" s="45" t="n">
        <v>1517</v>
      </c>
      <c r="H819" s="43" t="n">
        <v>772</v>
      </c>
      <c r="I819" s="46">
        <f>IF(H819=0,DATE(2026,10,29),IF(H819=1,DATE(2026,10,30),DATE(2026,11,2)+7*INT((H819-2)/3)+CHOOSE(MOD(H819-2,3)+1,0,2,4)))</f>
        <v/>
      </c>
    </row>
    <row r="820" ht="15" customHeight="1" s="24">
      <c r="A820" s="43" t="n">
        <v>819</v>
      </c>
      <c r="B820" s="44" t="inlineStr">
        <is>
          <t>Renascimento (1401–1527)</t>
        </is>
      </c>
      <c r="C820" s="45" t="inlineStr">
        <is>
          <t>1518</t>
        </is>
      </c>
      <c r="D820" s="44" t="inlineStr">
        <is>
          <t>Ticiano e a Assunta</t>
        </is>
      </c>
      <c r="E820" s="44" t="inlineStr">
        <is>
          <t>Basílica dos Frari, Veneza</t>
        </is>
      </c>
      <c r="F820" s="45" t="inlineStr">
        <is>
          <t>Pendente</t>
        </is>
      </c>
      <c r="G820" s="45" t="n">
        <v>1518</v>
      </c>
      <c r="H820" s="43" t="n">
        <v>773</v>
      </c>
      <c r="I820" s="46">
        <f>IF(H820=0,DATE(2026,10,29),IF(H820=1,DATE(2026,10,30),DATE(2026,11,2)+7*INT((H820-2)/3)+CHOOSE(MOD(H820-2,3)+1,0,2,4)))</f>
        <v/>
      </c>
    </row>
    <row r="821" ht="15" customHeight="1" s="24">
      <c r="A821" s="43" t="n">
        <v>820</v>
      </c>
      <c r="B821" s="44" t="inlineStr">
        <is>
          <t>Renascimento (1401–1527)</t>
        </is>
      </c>
      <c r="C821" s="45" t="inlineStr">
        <is>
          <t>1519</t>
        </is>
      </c>
      <c r="D821" s="44" t="inlineStr">
        <is>
          <t>A carta de Rafael sobre a Roma antiga</t>
        </is>
      </c>
      <c r="E821" s="44" t="inlineStr">
        <is>
          <t>A definir (Roma)</t>
        </is>
      </c>
      <c r="F821" s="45" t="inlineStr">
        <is>
          <t>Pendente</t>
        </is>
      </c>
      <c r="G821" s="45" t="n">
        <v>1519</v>
      </c>
      <c r="H821" s="43" t="n">
        <v>774</v>
      </c>
      <c r="I821" s="46">
        <f>IF(H821=0,DATE(2026,10,29),IF(H821=1,DATE(2026,10,30),DATE(2026,11,2)+7*INT((H821-2)/3)+CHOOSE(MOD(H821-2,3)+1,0,2,4)))</f>
        <v/>
      </c>
    </row>
    <row r="822" ht="15" customHeight="1" s="24">
      <c r="A822" s="43" t="n">
        <v>821</v>
      </c>
      <c r="B822" s="44" t="inlineStr">
        <is>
          <t>Renascimento (1401–1527)</t>
        </is>
      </c>
      <c r="C822" s="45" t="inlineStr">
        <is>
          <t>1519</t>
        </is>
      </c>
      <c r="D822" s="44" t="inlineStr">
        <is>
          <t>A morte de Leonardo</t>
        </is>
      </c>
      <c r="E822" s="44" t="inlineStr">
        <is>
          <t>Amboise</t>
        </is>
      </c>
      <c r="F822" s="45" t="inlineStr">
        <is>
          <t>Pendente</t>
        </is>
      </c>
      <c r="G822" s="45" t="n">
        <v>1519</v>
      </c>
      <c r="H822" s="43" t="n">
        <v>775</v>
      </c>
      <c r="I822" s="46">
        <f>IF(H822=0,DATE(2026,10,29),IF(H822=1,DATE(2026,10,30),DATE(2026,11,2)+7*INT((H822-2)/3)+CHOOSE(MOD(H822-2,3)+1,0,2,4)))</f>
        <v/>
      </c>
    </row>
    <row r="823" ht="15" customHeight="1" s="24">
      <c r="A823" s="43" t="n">
        <v>822</v>
      </c>
      <c r="B823" s="44" t="inlineStr">
        <is>
          <t>Renascimento (1401–1527)</t>
        </is>
      </c>
      <c r="C823" s="45" t="inlineStr">
        <is>
          <t>1520</t>
        </is>
      </c>
      <c r="D823" s="44" t="inlineStr">
        <is>
          <t>A morte de Rafael</t>
        </is>
      </c>
      <c r="E823" s="44" t="inlineStr">
        <is>
          <t>Panteão, Roma</t>
        </is>
      </c>
      <c r="F823" s="45" t="inlineStr">
        <is>
          <t>Pendente</t>
        </is>
      </c>
      <c r="G823" s="45" t="n">
        <v>1520</v>
      </c>
      <c r="H823" s="43" t="n">
        <v>776</v>
      </c>
      <c r="I823" s="46">
        <f>IF(H823=0,DATE(2026,10,29),IF(H823=1,DATE(2026,10,30),DATE(2026,11,2)+7*INT((H823-2)/3)+CHOOSE(MOD(H823-2,3)+1,0,2,4)))</f>
        <v/>
      </c>
    </row>
    <row r="824" ht="15" customHeight="1" s="24">
      <c r="A824" s="43" t="n">
        <v>823</v>
      </c>
      <c r="B824" s="44" t="inlineStr">
        <is>
          <t>Renascimento (1401–1527)</t>
        </is>
      </c>
      <c r="C824" s="45" t="inlineStr">
        <is>
          <t>1521</t>
        </is>
      </c>
      <c r="D824" s="44" t="inlineStr">
        <is>
          <t>Adriano VI</t>
        </is>
      </c>
      <c r="E824" s="44" t="inlineStr">
        <is>
          <t>A definir (Roma)</t>
        </is>
      </c>
      <c r="F824" s="45" t="inlineStr">
        <is>
          <t>Pendente</t>
        </is>
      </c>
      <c r="G824" s="45" t="n">
        <v>1521</v>
      </c>
      <c r="H824" s="43" t="n">
        <v>777</v>
      </c>
      <c r="I824" s="46">
        <f>IF(H824=0,DATE(2026,10,29),IF(H824=1,DATE(2026,10,30),DATE(2026,11,2)+7*INT((H824-2)/3)+CHOOSE(MOD(H824-2,3)+1,0,2,4)))</f>
        <v/>
      </c>
    </row>
    <row r="825" ht="15" customHeight="1" s="24">
      <c r="A825" s="43" t="n">
        <v>824</v>
      </c>
      <c r="B825" s="44" t="inlineStr">
        <is>
          <t>Renascimento (1401–1527)</t>
        </is>
      </c>
      <c r="C825" s="45" t="inlineStr">
        <is>
          <t>1523</t>
        </is>
      </c>
      <c r="D825" s="44" t="inlineStr">
        <is>
          <t>Clemente VII</t>
        </is>
      </c>
      <c r="E825" s="44" t="inlineStr">
        <is>
          <t>A definir (Roma)</t>
        </is>
      </c>
      <c r="F825" s="45" t="inlineStr">
        <is>
          <t>Pendente</t>
        </is>
      </c>
      <c r="G825" s="45" t="n">
        <v>1523</v>
      </c>
      <c r="H825" s="43" t="n">
        <v>778</v>
      </c>
      <c r="I825" s="46">
        <f>IF(H825=0,DATE(2026,10,29),IF(H825=1,DATE(2026,10,30),DATE(2026,11,2)+7*INT((H825-2)/3)+CHOOSE(MOD(H825-2,3)+1,0,2,4)))</f>
        <v/>
      </c>
    </row>
    <row r="826" ht="15" customHeight="1" s="24">
      <c r="A826" s="43" t="n">
        <v>825</v>
      </c>
      <c r="B826" s="44" t="inlineStr">
        <is>
          <t>Renascimento (1401–1527)</t>
        </is>
      </c>
      <c r="C826" s="45" t="inlineStr">
        <is>
          <t>1524</t>
        </is>
      </c>
      <c r="D826" s="44" t="inlineStr">
        <is>
          <t>Giulio Romano e o Palazzo Te</t>
        </is>
      </c>
      <c r="E826" s="44" t="inlineStr">
        <is>
          <t>Palazzo Te, Mântua</t>
        </is>
      </c>
      <c r="F826" s="45" t="inlineStr">
        <is>
          <t>Pendente</t>
        </is>
      </c>
      <c r="G826" s="45" t="n">
        <v>1524</v>
      </c>
      <c r="H826" s="43" t="n">
        <v>779</v>
      </c>
      <c r="I826" s="46">
        <f>IF(H826=0,DATE(2026,10,29),IF(H826=1,DATE(2026,10,30),DATE(2026,11,2)+7*INT((H826-2)/3)+CHOOSE(MOD(H826-2,3)+1,0,2,4)))</f>
        <v/>
      </c>
    </row>
    <row r="827" ht="15" customHeight="1" s="24">
      <c r="A827" s="43" t="n">
        <v>826</v>
      </c>
      <c r="B827" s="44" t="inlineStr">
        <is>
          <t>Renascimento (1401–1527)</t>
        </is>
      </c>
      <c r="C827" s="45" t="inlineStr">
        <is>
          <t>1525</t>
        </is>
      </c>
      <c r="D827" s="44" t="inlineStr">
        <is>
          <t>Pavia: a batalha que mudou a Itália</t>
        </is>
      </c>
      <c r="E827" s="44" t="inlineStr">
        <is>
          <t>Pavia</t>
        </is>
      </c>
      <c r="F827" s="45" t="inlineStr">
        <is>
          <t>Pendente</t>
        </is>
      </c>
      <c r="G827" s="45" t="n">
        <v>1525</v>
      </c>
      <c r="H827" s="43" t="n">
        <v>780</v>
      </c>
      <c r="I827" s="46">
        <f>IF(H827=0,DATE(2026,10,29),IF(H827=1,DATE(2026,10,30),DATE(2026,11,2)+7*INT((H827-2)/3)+CHOOSE(MOD(H827-2,3)+1,0,2,4)))</f>
        <v/>
      </c>
    </row>
    <row r="828" ht="15" customHeight="1" s="24">
      <c r="A828" s="43" t="n">
        <v>827</v>
      </c>
      <c r="B828" s="44" t="inlineStr">
        <is>
          <t>Renascimento (1401–1527)</t>
        </is>
      </c>
      <c r="C828" s="45" t="inlineStr">
        <is>
          <t>1526</t>
        </is>
      </c>
      <c r="D828" s="44" t="inlineStr">
        <is>
          <t>A Liga de Cognac</t>
        </is>
      </c>
      <c r="E828" s="44" t="inlineStr">
        <is>
          <t>A definir (Roma)</t>
        </is>
      </c>
      <c r="F828" s="45" t="inlineStr">
        <is>
          <t>Pendente</t>
        </is>
      </c>
      <c r="G828" s="45" t="n">
        <v>1526</v>
      </c>
      <c r="H828" s="43" t="n">
        <v>781</v>
      </c>
      <c r="I828" s="46">
        <f>IF(H828=0,DATE(2026,10,29),IF(H828=1,DATE(2026,10,30),DATE(2026,11,2)+7*INT((H828-2)/3)+CHOOSE(MOD(H828-2,3)+1,0,2,4)))</f>
        <v/>
      </c>
    </row>
    <row r="829" ht="15" customHeight="1" s="24">
      <c r="A829" s="43" t="n">
        <v>828</v>
      </c>
      <c r="B829" s="44" t="inlineStr">
        <is>
          <t>Renascimento (1401–1527)</t>
        </is>
      </c>
      <c r="C829" s="45" t="inlineStr">
        <is>
          <t>1527</t>
        </is>
      </c>
      <c r="D829" s="44" t="inlineStr">
        <is>
          <t>O Saque de Roma</t>
        </is>
      </c>
      <c r="E829" s="44" t="inlineStr">
        <is>
          <t>Castel Sant'Angelo, Roma</t>
        </is>
      </c>
      <c r="F829" s="45" t="inlineStr">
        <is>
          <t>Pendente</t>
        </is>
      </c>
      <c r="G829" s="45" t="n">
        <v>1527</v>
      </c>
      <c r="H829" s="43" t="n">
        <v>782</v>
      </c>
      <c r="I829" s="46">
        <f>IF(H829=0,DATE(2026,10,29),IF(H829=1,DATE(2026,10,30),DATE(2026,11,2)+7*INT((H829-2)/3)+CHOOSE(MOD(H829-2,3)+1,0,2,4)))</f>
        <v/>
      </c>
    </row>
    <row r="830" ht="23.85" customHeight="1" s="24">
      <c r="A830" s="43" t="n">
        <v>829</v>
      </c>
      <c r="B830" s="44" t="inlineStr">
        <is>
          <t>Contrarreforma, Barroco e Roma papal (1528–1700)</t>
        </is>
      </c>
      <c r="C830" s="45" t="inlineStr">
        <is>
          <t>1530</t>
        </is>
      </c>
      <c r="D830" s="44" t="inlineStr">
        <is>
          <t>A coroação de Carlos V em Bolonha</t>
        </is>
      </c>
      <c r="E830" s="44" t="inlineStr">
        <is>
          <t>Basílica de São Petrônio, Bolonha</t>
        </is>
      </c>
      <c r="F830" s="45" t="inlineStr">
        <is>
          <t>Pendente</t>
        </is>
      </c>
      <c r="G830" s="45" t="n">
        <v>1530</v>
      </c>
      <c r="H830" s="43" t="n">
        <v>783</v>
      </c>
      <c r="I830" s="46">
        <f>IF(H830=0,DATE(2026,10,29),IF(H830=1,DATE(2026,10,30),DATE(2026,11,2)+7*INT((H830-2)/3)+CHOOSE(MOD(H830-2,3)+1,0,2,4)))</f>
        <v/>
      </c>
    </row>
    <row r="831" ht="23.85" customHeight="1" s="24">
      <c r="A831" s="43" t="n">
        <v>830</v>
      </c>
      <c r="B831" s="44" t="inlineStr">
        <is>
          <t>Contrarreforma, Barroco e Roma papal (1528–1700)</t>
        </is>
      </c>
      <c r="C831" s="45" t="inlineStr">
        <is>
          <t>1534</t>
        </is>
      </c>
      <c r="D831" s="44" t="inlineStr">
        <is>
          <t>Paulo III e a Contrarreforma</t>
        </is>
      </c>
      <c r="E831" s="44" t="inlineStr">
        <is>
          <t>A definir (Roma)</t>
        </is>
      </c>
      <c r="F831" s="45" t="inlineStr">
        <is>
          <t>Pendente</t>
        </is>
      </c>
      <c r="G831" s="45" t="n">
        <v>1534</v>
      </c>
      <c r="H831" s="43" t="n">
        <v>784</v>
      </c>
      <c r="I831" s="46">
        <f>IF(H831=0,DATE(2026,10,29),IF(H831=1,DATE(2026,10,30),DATE(2026,11,2)+7*INT((H831-2)/3)+CHOOSE(MOD(H831-2,3)+1,0,2,4)))</f>
        <v/>
      </c>
    </row>
    <row r="832" ht="23.85" customHeight="1" s="24">
      <c r="A832" s="43" t="n">
        <v>831</v>
      </c>
      <c r="B832" s="44" t="inlineStr">
        <is>
          <t>Contrarreforma, Barroco e Roma papal (1528–1700)</t>
        </is>
      </c>
      <c r="C832" s="45" t="inlineStr">
        <is>
          <t>1534</t>
        </is>
      </c>
      <c r="D832" s="44" t="inlineStr">
        <is>
          <t>O Juízo Final de Michelangelo</t>
        </is>
      </c>
      <c r="E832" s="44" t="inlineStr">
        <is>
          <t>Capela Sistina, Vaticano</t>
        </is>
      </c>
      <c r="F832" s="45" t="inlineStr">
        <is>
          <t>Pendente</t>
        </is>
      </c>
      <c r="G832" s="45" t="n">
        <v>1534</v>
      </c>
      <c r="H832" s="43" t="n">
        <v>785</v>
      </c>
      <c r="I832" s="46">
        <f>IF(H832=0,DATE(2026,10,29),IF(H832=1,DATE(2026,10,30),DATE(2026,11,2)+7*INT((H832-2)/3)+CHOOSE(MOD(H832-2,3)+1,0,2,4)))</f>
        <v/>
      </c>
    </row>
    <row r="833" ht="23.85" customHeight="1" s="24">
      <c r="A833" s="43" t="n">
        <v>832</v>
      </c>
      <c r="B833" s="44" t="inlineStr">
        <is>
          <t>Contrarreforma, Barroco e Roma papal (1528–1700)</t>
        </is>
      </c>
      <c r="C833" s="45" t="inlineStr">
        <is>
          <t>1538</t>
        </is>
      </c>
      <c r="D833" s="44" t="inlineStr">
        <is>
          <t>O Capitólio de Michelangelo</t>
        </is>
      </c>
      <c r="E833" s="44" t="inlineStr">
        <is>
          <t>Piazza del Campidoglio, Roma</t>
        </is>
      </c>
      <c r="F833" s="45" t="inlineStr">
        <is>
          <t>Pendente</t>
        </is>
      </c>
      <c r="G833" s="45" t="n">
        <v>1538</v>
      </c>
      <c r="H833" s="43" t="n">
        <v>786</v>
      </c>
      <c r="I833" s="46">
        <f>IF(H833=0,DATE(2026,10,29),IF(H833=1,DATE(2026,10,30),DATE(2026,11,2)+7*INT((H833-2)/3)+CHOOSE(MOD(H833-2,3)+1,0,2,4)))</f>
        <v/>
      </c>
    </row>
    <row r="834" ht="23.85" customHeight="1" s="24">
      <c r="A834" s="43" t="n">
        <v>833</v>
      </c>
      <c r="B834" s="44" t="inlineStr">
        <is>
          <t>Contrarreforma, Barroco e Roma papal (1528–1700)</t>
        </is>
      </c>
      <c r="C834" s="45" t="inlineStr">
        <is>
          <t>1540</t>
        </is>
      </c>
      <c r="D834" s="44" t="inlineStr">
        <is>
          <t>A fundação da Companhia de Jesus</t>
        </is>
      </c>
      <c r="E834" s="44" t="inlineStr">
        <is>
          <t>Igreja do Gesù, Roma</t>
        </is>
      </c>
      <c r="F834" s="45" t="inlineStr">
        <is>
          <t>Pendente</t>
        </is>
      </c>
      <c r="G834" s="45" t="n">
        <v>1540</v>
      </c>
      <c r="H834" s="43" t="n">
        <v>787</v>
      </c>
      <c r="I834" s="46">
        <f>IF(H834=0,DATE(2026,10,29),IF(H834=1,DATE(2026,10,30),DATE(2026,11,2)+7*INT((H834-2)/3)+CHOOSE(MOD(H834-2,3)+1,0,2,4)))</f>
        <v/>
      </c>
    </row>
    <row r="835" ht="23.85" customHeight="1" s="24">
      <c r="A835" s="43" t="n">
        <v>834</v>
      </c>
      <c r="B835" s="44" t="inlineStr">
        <is>
          <t>Contrarreforma, Barroco e Roma papal (1528–1700)</t>
        </is>
      </c>
      <c r="C835" s="45" t="inlineStr">
        <is>
          <t>1542</t>
        </is>
      </c>
      <c r="D835" s="44" t="inlineStr">
        <is>
          <t>A Inquisição romana</t>
        </is>
      </c>
      <c r="E835" s="44" t="inlineStr">
        <is>
          <t>A definir (Roma)</t>
        </is>
      </c>
      <c r="F835" s="45" t="inlineStr">
        <is>
          <t>Pendente</t>
        </is>
      </c>
      <c r="G835" s="45" t="n">
        <v>1542</v>
      </c>
      <c r="H835" s="43" t="n">
        <v>788</v>
      </c>
      <c r="I835" s="46">
        <f>IF(H835=0,DATE(2026,10,29),IF(H835=1,DATE(2026,10,30),DATE(2026,11,2)+7*INT((H835-2)/3)+CHOOSE(MOD(H835-2,3)+1,0,2,4)))</f>
        <v/>
      </c>
    </row>
    <row r="836" ht="23.85" customHeight="1" s="24">
      <c r="A836" s="43" t="n">
        <v>835</v>
      </c>
      <c r="B836" s="44" t="inlineStr">
        <is>
          <t>Contrarreforma, Barroco e Roma papal (1528–1700)</t>
        </is>
      </c>
      <c r="C836" s="45" t="inlineStr">
        <is>
          <t>1546</t>
        </is>
      </c>
      <c r="D836" s="44" t="inlineStr">
        <is>
          <t>Michelangelo, arquiteto de São Pedro</t>
        </is>
      </c>
      <c r="E836" s="44" t="inlineStr">
        <is>
          <t>Basílica de São Pedro, Vaticano</t>
        </is>
      </c>
      <c r="F836" s="45" t="inlineStr">
        <is>
          <t>Pendente</t>
        </is>
      </c>
      <c r="G836" s="45" t="n">
        <v>1546</v>
      </c>
      <c r="H836" s="43" t="n">
        <v>789</v>
      </c>
      <c r="I836" s="46">
        <f>IF(H836=0,DATE(2026,10,29),IF(H836=1,DATE(2026,10,30),DATE(2026,11,2)+7*INT((H836-2)/3)+CHOOSE(MOD(H836-2,3)+1,0,2,4)))</f>
        <v/>
      </c>
    </row>
    <row r="837" ht="23.85" customHeight="1" s="24">
      <c r="A837" s="43" t="n">
        <v>836</v>
      </c>
      <c r="B837" s="44" t="inlineStr">
        <is>
          <t>Contrarreforma, Barroco e Roma papal (1528–1700)</t>
        </is>
      </c>
      <c r="C837" s="45" t="inlineStr">
        <is>
          <t>1547</t>
        </is>
      </c>
      <c r="D837" s="44" t="inlineStr">
        <is>
          <t>Palladio e as vilas do Vêneto</t>
        </is>
      </c>
      <c r="E837" s="44" t="inlineStr">
        <is>
          <t>Vicenza</t>
        </is>
      </c>
      <c r="F837" s="45" t="inlineStr">
        <is>
          <t>Pendente</t>
        </is>
      </c>
      <c r="G837" s="45" t="n">
        <v>1547</v>
      </c>
      <c r="H837" s="43" t="n">
        <v>790</v>
      </c>
      <c r="I837" s="46">
        <f>IF(H837=0,DATE(2026,10,29),IF(H837=1,DATE(2026,10,30),DATE(2026,11,2)+7*INT((H837-2)/3)+CHOOSE(MOD(H837-2,3)+1,0,2,4)))</f>
        <v/>
      </c>
    </row>
    <row r="838" ht="23.85" customHeight="1" s="24">
      <c r="A838" s="43" t="n">
        <v>837</v>
      </c>
      <c r="B838" s="44" t="inlineStr">
        <is>
          <t>Contrarreforma, Barroco e Roma papal (1528–1700)</t>
        </is>
      </c>
      <c r="C838" s="45" t="inlineStr">
        <is>
          <t>1550</t>
        </is>
      </c>
      <c r="D838" s="44" t="inlineStr">
        <is>
          <t>A Villa d'Este</t>
        </is>
      </c>
      <c r="E838" s="44" t="inlineStr">
        <is>
          <t>Villa d'Este, Tivoli</t>
        </is>
      </c>
      <c r="F838" s="45" t="inlineStr">
        <is>
          <t>Pendente</t>
        </is>
      </c>
      <c r="G838" s="45" t="n">
        <v>1550</v>
      </c>
      <c r="H838" s="43" t="n">
        <v>791</v>
      </c>
      <c r="I838" s="46">
        <f>IF(H838=0,DATE(2026,10,29),IF(H838=1,DATE(2026,10,30),DATE(2026,11,2)+7*INT((H838-2)/3)+CHOOSE(MOD(H838-2,3)+1,0,2,4)))</f>
        <v/>
      </c>
    </row>
    <row r="839" ht="23.85" customHeight="1" s="24">
      <c r="A839" s="43" t="n">
        <v>838</v>
      </c>
      <c r="B839" s="44" t="inlineStr">
        <is>
          <t>Contrarreforma, Barroco e Roma papal (1528–1700)</t>
        </is>
      </c>
      <c r="C839" s="45" t="inlineStr">
        <is>
          <t>1550</t>
        </is>
      </c>
      <c r="D839" s="44" t="inlineStr">
        <is>
          <t>Vasari e as Vidas dos Artistas</t>
        </is>
      </c>
      <c r="E839" s="44" t="inlineStr">
        <is>
          <t>Casa de Vasari, Arezzo</t>
        </is>
      </c>
      <c r="F839" s="45" t="inlineStr">
        <is>
          <t>Pendente</t>
        </is>
      </c>
      <c r="G839" s="45" t="n">
        <v>1550</v>
      </c>
      <c r="H839" s="43" t="n">
        <v>792</v>
      </c>
      <c r="I839" s="46">
        <f>IF(H839=0,DATE(2026,10,29),IF(H839=1,DATE(2026,10,30),DATE(2026,11,2)+7*INT((H839-2)/3)+CHOOSE(MOD(H839-2,3)+1,0,2,4)))</f>
        <v/>
      </c>
    </row>
    <row r="840" ht="23.85" customHeight="1" s="24">
      <c r="A840" s="43" t="n">
        <v>839</v>
      </c>
      <c r="B840" s="44" t="inlineStr">
        <is>
          <t>Contrarreforma, Barroco e Roma papal (1528–1700)</t>
        </is>
      </c>
      <c r="C840" s="45" t="inlineStr">
        <is>
          <t>1552</t>
        </is>
      </c>
      <c r="D840" s="44" t="inlineStr">
        <is>
          <t>O Gesù de Vignola</t>
        </is>
      </c>
      <c r="E840" s="44" t="inlineStr">
        <is>
          <t>Igreja do Gesù, Roma</t>
        </is>
      </c>
      <c r="F840" s="45" t="inlineStr">
        <is>
          <t>Pendente</t>
        </is>
      </c>
      <c r="G840" s="45" t="n">
        <v>1552</v>
      </c>
      <c r="H840" s="43" t="n">
        <v>793</v>
      </c>
      <c r="I840" s="46">
        <f>IF(H840=0,DATE(2026,10,29),IF(H840=1,DATE(2026,10,30),DATE(2026,11,2)+7*INT((H840-2)/3)+CHOOSE(MOD(H840-2,3)+1,0,2,4)))</f>
        <v/>
      </c>
    </row>
    <row r="841" ht="23.85" customHeight="1" s="24">
      <c r="A841" s="43" t="n">
        <v>840</v>
      </c>
      <c r="B841" s="44" t="inlineStr">
        <is>
          <t>Contrarreforma, Barroco e Roma papal (1528–1700)</t>
        </is>
      </c>
      <c r="C841" s="45" t="inlineStr">
        <is>
          <t>1555</t>
        </is>
      </c>
      <c r="D841" s="44" t="inlineStr">
        <is>
          <t>O Gueto de Roma</t>
        </is>
      </c>
      <c r="E841" s="44" t="inlineStr">
        <is>
          <t>Gueto Judaico, Roma</t>
        </is>
      </c>
      <c r="F841" s="45" t="inlineStr">
        <is>
          <t>Pendente</t>
        </is>
      </c>
      <c r="G841" s="45" t="n">
        <v>1555</v>
      </c>
      <c r="H841" s="43" t="n">
        <v>794</v>
      </c>
      <c r="I841" s="46">
        <f>IF(H841=0,DATE(2026,10,29),IF(H841=1,DATE(2026,10,30),DATE(2026,11,2)+7*INT((H841-2)/3)+CHOOSE(MOD(H841-2,3)+1,0,2,4)))</f>
        <v/>
      </c>
    </row>
    <row r="842" ht="23.85" customHeight="1" s="24">
      <c r="A842" s="43" t="n">
        <v>841</v>
      </c>
      <c r="B842" s="44" t="inlineStr">
        <is>
          <t>Contrarreforma, Barroco e Roma papal (1528–1700)</t>
        </is>
      </c>
      <c r="C842" s="45" t="inlineStr">
        <is>
          <t>1559</t>
        </is>
      </c>
      <c r="D842" s="44" t="inlineStr">
        <is>
          <t>A Reforma e o Índice de Livros Proibidos</t>
        </is>
      </c>
      <c r="E842" s="44" t="inlineStr">
        <is>
          <t>A definir (Roma)</t>
        </is>
      </c>
      <c r="F842" s="45" t="inlineStr">
        <is>
          <t>Pendente</t>
        </is>
      </c>
      <c r="G842" s="45" t="n">
        <v>1559</v>
      </c>
      <c r="H842" s="43" t="n">
        <v>795</v>
      </c>
      <c r="I842" s="46">
        <f>IF(H842=0,DATE(2026,10,29),IF(H842=1,DATE(2026,10,30),DATE(2026,11,2)+7*INT((H842-2)/3)+CHOOSE(MOD(H842-2,3)+1,0,2,4)))</f>
        <v/>
      </c>
    </row>
    <row r="843" ht="23.85" customHeight="1" s="24">
      <c r="A843" s="43" t="n">
        <v>842</v>
      </c>
      <c r="B843" s="44" t="inlineStr">
        <is>
          <t>Contrarreforma, Barroco e Roma papal (1528–1700)</t>
        </is>
      </c>
      <c r="C843" s="45" t="inlineStr">
        <is>
          <t>1560</t>
        </is>
      </c>
      <c r="D843" s="44" t="inlineStr">
        <is>
          <t>Os Uffizi</t>
        </is>
      </c>
      <c r="E843" s="44" t="inlineStr">
        <is>
          <t>Galeria Uffizi, Florença</t>
        </is>
      </c>
      <c r="F843" s="45" t="inlineStr">
        <is>
          <t>Pendente</t>
        </is>
      </c>
      <c r="G843" s="45" t="n">
        <v>1560</v>
      </c>
      <c r="H843" s="43" t="n">
        <v>796</v>
      </c>
      <c r="I843" s="46">
        <f>IF(H843=0,DATE(2026,10,29),IF(H843=1,DATE(2026,10,30),DATE(2026,11,2)+7*INT((H843-2)/3)+CHOOSE(MOD(H843-2,3)+1,0,2,4)))</f>
        <v/>
      </c>
    </row>
    <row r="844" ht="23.85" customHeight="1" s="24">
      <c r="A844" s="43" t="n">
        <v>843</v>
      </c>
      <c r="B844" s="44" t="inlineStr">
        <is>
          <t>Contrarreforma, Barroco e Roma papal (1528–1700)</t>
        </is>
      </c>
      <c r="C844" s="45" t="inlineStr">
        <is>
          <t>1564</t>
        </is>
      </c>
      <c r="D844" s="44" t="inlineStr">
        <is>
          <t>A morte de Michelangelo</t>
        </is>
      </c>
      <c r="E844" s="44" t="inlineStr">
        <is>
          <t>Santa Croce, Florença</t>
        </is>
      </c>
      <c r="F844" s="45" t="inlineStr">
        <is>
          <t>Pendente</t>
        </is>
      </c>
      <c r="G844" s="45" t="n">
        <v>1564</v>
      </c>
      <c r="H844" s="43" t="n">
        <v>797</v>
      </c>
      <c r="I844" s="46">
        <f>IF(H844=0,DATE(2026,10,29),IF(H844=1,DATE(2026,10,30),DATE(2026,11,2)+7*INT((H844-2)/3)+CHOOSE(MOD(H844-2,3)+1,0,2,4)))</f>
        <v/>
      </c>
    </row>
    <row r="845" ht="23.85" customHeight="1" s="24">
      <c r="A845" s="43" t="n">
        <v>844</v>
      </c>
      <c r="B845" s="44" t="inlineStr">
        <is>
          <t>Contrarreforma, Barroco e Roma papal (1528–1700)</t>
        </is>
      </c>
      <c r="C845" s="45" t="inlineStr">
        <is>
          <t>1564</t>
        </is>
      </c>
      <c r="D845" s="44" t="inlineStr">
        <is>
          <t>Galileu nasce em Pisa</t>
        </is>
      </c>
      <c r="E845" s="44" t="inlineStr">
        <is>
          <t>Pisa</t>
        </is>
      </c>
      <c r="F845" s="45" t="inlineStr">
        <is>
          <t>Pendente</t>
        </is>
      </c>
      <c r="G845" s="45" t="n">
        <v>1564</v>
      </c>
      <c r="H845" s="43" t="n">
        <v>798</v>
      </c>
      <c r="I845" s="46">
        <f>IF(H845=0,DATE(2026,10,29),IF(H845=1,DATE(2026,10,30),DATE(2026,11,2)+7*INT((H845-2)/3)+CHOOSE(MOD(H845-2,3)+1,0,2,4)))</f>
        <v/>
      </c>
    </row>
    <row r="846" ht="23.85" customHeight="1" s="24">
      <c r="A846" s="43" t="n">
        <v>845</v>
      </c>
      <c r="B846" s="44" t="inlineStr">
        <is>
          <t>Contrarreforma, Barroco e Roma papal (1528–1700)</t>
        </is>
      </c>
      <c r="C846" s="45" t="inlineStr">
        <is>
          <t>1566</t>
        </is>
      </c>
      <c r="D846" s="44" t="inlineStr">
        <is>
          <t>Pio V e o Catecismo Romano</t>
        </is>
      </c>
      <c r="E846" s="44" t="inlineStr">
        <is>
          <t>A definir (Roma)</t>
        </is>
      </c>
      <c r="F846" s="45" t="inlineStr">
        <is>
          <t>Pendente</t>
        </is>
      </c>
      <c r="G846" s="45" t="n">
        <v>1566</v>
      </c>
      <c r="H846" s="43" t="n">
        <v>799</v>
      </c>
      <c r="I846" s="46">
        <f>IF(H846=0,DATE(2026,10,29),IF(H846=1,DATE(2026,10,30),DATE(2026,11,2)+7*INT((H846-2)/3)+CHOOSE(MOD(H846-2,3)+1,0,2,4)))</f>
        <v/>
      </c>
    </row>
    <row r="847" ht="23.85" customHeight="1" s="24">
      <c r="A847" s="43" t="n">
        <v>846</v>
      </c>
      <c r="B847" s="44" t="inlineStr">
        <is>
          <t>Contrarreforma, Barroco e Roma papal (1528–1700)</t>
        </is>
      </c>
      <c r="C847" s="45" t="inlineStr">
        <is>
          <t>1571</t>
        </is>
      </c>
      <c r="D847" s="44" t="inlineStr">
        <is>
          <t>A batalha de Lepanto</t>
        </is>
      </c>
      <c r="E847" s="44" t="inlineStr">
        <is>
          <t>Veneza</t>
        </is>
      </c>
      <c r="F847" s="45" t="inlineStr">
        <is>
          <t>Pendente</t>
        </is>
      </c>
      <c r="G847" s="45" t="n">
        <v>1571</v>
      </c>
      <c r="H847" s="43" t="n">
        <v>800</v>
      </c>
      <c r="I847" s="46">
        <f>IF(H847=0,DATE(2026,10,29),IF(H847=1,DATE(2026,10,30),DATE(2026,11,2)+7*INT((H847-2)/3)+CHOOSE(MOD(H847-2,3)+1,0,2,4)))</f>
        <v/>
      </c>
    </row>
    <row r="848" ht="23.85" customHeight="1" s="24">
      <c r="A848" s="43" t="n">
        <v>847</v>
      </c>
      <c r="B848" s="44" t="inlineStr">
        <is>
          <t>Contrarreforma, Barroco e Roma papal (1528–1700)</t>
        </is>
      </c>
      <c r="C848" s="45" t="inlineStr">
        <is>
          <t>1575</t>
        </is>
      </c>
      <c r="D848" s="44" t="inlineStr">
        <is>
          <t>O Jubileu de 1575</t>
        </is>
      </c>
      <c r="E848" s="44" t="inlineStr">
        <is>
          <t>São Pedro, Roma</t>
        </is>
      </c>
      <c r="F848" s="45" t="inlineStr">
        <is>
          <t>Pendente</t>
        </is>
      </c>
      <c r="G848" s="45" t="n">
        <v>1575</v>
      </c>
      <c r="H848" s="43" t="n">
        <v>801</v>
      </c>
      <c r="I848" s="46">
        <f>IF(H848=0,DATE(2026,10,29),IF(H848=1,DATE(2026,10,30),DATE(2026,11,2)+7*INT((H848-2)/3)+CHOOSE(MOD(H848-2,3)+1,0,2,4)))</f>
        <v/>
      </c>
    </row>
    <row r="849" ht="23.85" customHeight="1" s="24">
      <c r="A849" s="43" t="n">
        <v>848</v>
      </c>
      <c r="B849" s="44" t="inlineStr">
        <is>
          <t>Contrarreforma, Barroco e Roma papal (1528–1700)</t>
        </is>
      </c>
      <c r="C849" s="45" t="inlineStr">
        <is>
          <t>1577</t>
        </is>
      </c>
      <c r="D849" s="44" t="inlineStr">
        <is>
          <t>O Redentore de Palladio</t>
        </is>
      </c>
      <c r="E849" s="44" t="inlineStr">
        <is>
          <t>Redentore, Veneza</t>
        </is>
      </c>
      <c r="F849" s="45" t="inlineStr">
        <is>
          <t>Pendente</t>
        </is>
      </c>
      <c r="G849" s="45" t="n">
        <v>1577</v>
      </c>
      <c r="H849" s="43" t="n">
        <v>802</v>
      </c>
      <c r="I849" s="46">
        <f>IF(H849=0,DATE(2026,10,29),IF(H849=1,DATE(2026,10,30),DATE(2026,11,2)+7*INT((H849-2)/3)+CHOOSE(MOD(H849-2,3)+1,0,2,4)))</f>
        <v/>
      </c>
    </row>
    <row r="850" ht="23.85" customHeight="1" s="24">
      <c r="A850" s="43" t="n">
        <v>849</v>
      </c>
      <c r="B850" s="44" t="inlineStr">
        <is>
          <t>Contrarreforma, Barroco e Roma papal (1528–1700)</t>
        </is>
      </c>
      <c r="C850" s="45" t="inlineStr">
        <is>
          <t>1580</t>
        </is>
      </c>
      <c r="D850" s="44" t="inlineStr">
        <is>
          <t>As Vilas dos Médici</t>
        </is>
      </c>
      <c r="E850" s="44" t="inlineStr">
        <is>
          <t>Villa Medici, Roma</t>
        </is>
      </c>
      <c r="F850" s="45" t="inlineStr">
        <is>
          <t>Pendente</t>
        </is>
      </c>
      <c r="G850" s="45" t="n">
        <v>1580</v>
      </c>
      <c r="H850" s="43" t="n">
        <v>803</v>
      </c>
      <c r="I850" s="46">
        <f>IF(H850=0,DATE(2026,10,29),IF(H850=1,DATE(2026,10,30),DATE(2026,11,2)+7*INT((H850-2)/3)+CHOOSE(MOD(H850-2,3)+1,0,2,4)))</f>
        <v/>
      </c>
    </row>
    <row r="851" ht="23.85" customHeight="1" s="24">
      <c r="A851" s="43" t="n">
        <v>850</v>
      </c>
      <c r="B851" s="44" t="inlineStr">
        <is>
          <t>Contrarreforma, Barroco e Roma papal (1528–1700)</t>
        </is>
      </c>
      <c r="C851" s="45" t="inlineStr">
        <is>
          <t>1582</t>
        </is>
      </c>
      <c r="D851" s="44" t="inlineStr">
        <is>
          <t>O calendário gregoriano</t>
        </is>
      </c>
      <c r="E851" s="44" t="inlineStr">
        <is>
          <t>Torre dos Ventos, Vaticano</t>
        </is>
      </c>
      <c r="F851" s="45" t="inlineStr">
        <is>
          <t>Pendente</t>
        </is>
      </c>
      <c r="G851" s="45" t="n">
        <v>1582</v>
      </c>
      <c r="H851" s="43" t="n">
        <v>804</v>
      </c>
      <c r="I851" s="46">
        <f>IF(H851=0,DATE(2026,10,29),IF(H851=1,DATE(2026,10,30),DATE(2026,11,2)+7*INT((H851-2)/3)+CHOOSE(MOD(H851-2,3)+1,0,2,4)))</f>
        <v/>
      </c>
    </row>
    <row r="852" ht="23.85" customHeight="1" s="24">
      <c r="A852" s="43" t="n">
        <v>851</v>
      </c>
      <c r="B852" s="44" t="inlineStr">
        <is>
          <t>Contrarreforma, Barroco e Roma papal (1528–1700)</t>
        </is>
      </c>
      <c r="C852" s="45" t="inlineStr">
        <is>
          <t>1585</t>
        </is>
      </c>
      <c r="D852" s="44" t="inlineStr">
        <is>
          <t>Sisto V e o plano urbanístico de Roma</t>
        </is>
      </c>
      <c r="E852" s="44" t="inlineStr">
        <is>
          <t>A definir (Roma)</t>
        </is>
      </c>
      <c r="F852" s="45" t="inlineStr">
        <is>
          <t>Pendente</t>
        </is>
      </c>
      <c r="G852" s="45" t="n">
        <v>1585</v>
      </c>
      <c r="H852" s="43" t="n">
        <v>805</v>
      </c>
      <c r="I852" s="46">
        <f>IF(H852=0,DATE(2026,10,29),IF(H852=1,DATE(2026,10,30),DATE(2026,11,2)+7*INT((H852-2)/3)+CHOOSE(MOD(H852-2,3)+1,0,2,4)))</f>
        <v/>
      </c>
    </row>
    <row r="853" ht="23.85" customHeight="1" s="24">
      <c r="A853" s="43" t="n">
        <v>852</v>
      </c>
      <c r="B853" s="44" t="inlineStr">
        <is>
          <t>Contrarreforma, Barroco e Roma papal (1528–1700)</t>
        </is>
      </c>
      <c r="C853" s="45" t="inlineStr">
        <is>
          <t>1586</t>
        </is>
      </c>
      <c r="D853" s="44" t="inlineStr">
        <is>
          <t>O obelisco de São Pedro é erguido</t>
        </is>
      </c>
      <c r="E853" s="44" t="inlineStr">
        <is>
          <t>Praça de São Pedro, Roma</t>
        </is>
      </c>
      <c r="F853" s="45" t="inlineStr">
        <is>
          <t>Pendente</t>
        </is>
      </c>
      <c r="G853" s="45" t="n">
        <v>1586</v>
      </c>
      <c r="H853" s="43" t="n">
        <v>806</v>
      </c>
      <c r="I853" s="46">
        <f>IF(H853=0,DATE(2026,10,29),IF(H853=1,DATE(2026,10,30),DATE(2026,11,2)+7*INT((H853-2)/3)+CHOOSE(MOD(H853-2,3)+1,0,2,4)))</f>
        <v/>
      </c>
    </row>
    <row r="854" ht="23.85" customHeight="1" s="24">
      <c r="A854" s="43" t="n">
        <v>853</v>
      </c>
      <c r="B854" s="44" t="inlineStr">
        <is>
          <t>Contrarreforma, Barroco e Roma papal (1528–1700)</t>
        </is>
      </c>
      <c r="C854" s="45" t="inlineStr">
        <is>
          <t>1590</t>
        </is>
      </c>
      <c r="D854" s="44" t="inlineStr">
        <is>
          <t>A cúpula de São Pedro</t>
        </is>
      </c>
      <c r="E854" s="44" t="inlineStr">
        <is>
          <t>Cúpula de São Pedro, Vaticano</t>
        </is>
      </c>
      <c r="F854" s="45" t="inlineStr">
        <is>
          <t>Pendente</t>
        </is>
      </c>
      <c r="G854" s="45" t="n">
        <v>1590</v>
      </c>
      <c r="H854" s="43" t="n">
        <v>807</v>
      </c>
      <c r="I854" s="46">
        <f>IF(H854=0,DATE(2026,10,29),IF(H854=1,DATE(2026,10,30),DATE(2026,11,2)+7*INT((H854-2)/3)+CHOOSE(MOD(H854-2,3)+1,0,2,4)))</f>
        <v/>
      </c>
    </row>
    <row r="855" ht="23.85" customHeight="1" s="24">
      <c r="A855" s="43" t="n">
        <v>854</v>
      </c>
      <c r="B855" s="44" t="inlineStr">
        <is>
          <t>Contrarreforma, Barroco e Roma papal (1528–1700)</t>
        </is>
      </c>
      <c r="C855" s="45" t="inlineStr">
        <is>
          <t>1593</t>
        </is>
      </c>
      <c r="D855" s="44" t="inlineStr">
        <is>
          <t>Caravaggio chega a Roma</t>
        </is>
      </c>
      <c r="E855" s="44" t="inlineStr">
        <is>
          <t>A definir (Roma)</t>
        </is>
      </c>
      <c r="F855" s="45" t="inlineStr">
        <is>
          <t>Pendente</t>
        </is>
      </c>
      <c r="G855" s="45" t="n">
        <v>1593</v>
      </c>
      <c r="H855" s="43" t="n">
        <v>808</v>
      </c>
      <c r="I855" s="46">
        <f>IF(H855=0,DATE(2026,10,29),IF(H855=1,DATE(2026,10,30),DATE(2026,11,2)+7*INT((H855-2)/3)+CHOOSE(MOD(H855-2,3)+1,0,2,4)))</f>
        <v/>
      </c>
    </row>
    <row r="856" ht="23.85" customHeight="1" s="24">
      <c r="A856" s="43" t="n">
        <v>855</v>
      </c>
      <c r="B856" s="44" t="inlineStr">
        <is>
          <t>Contrarreforma, Barroco e Roma papal (1528–1700)</t>
        </is>
      </c>
      <c r="C856" s="45" t="inlineStr">
        <is>
          <t>1598</t>
        </is>
      </c>
      <c r="D856" s="44" t="inlineStr">
        <is>
          <t>Frascati e as vilas do Lácio</t>
        </is>
      </c>
      <c r="E856" s="44" t="inlineStr">
        <is>
          <t>Frascati</t>
        </is>
      </c>
      <c r="F856" s="45" t="inlineStr">
        <is>
          <t>Pendente</t>
        </is>
      </c>
      <c r="G856" s="45" t="n">
        <v>1598</v>
      </c>
      <c r="H856" s="43" t="n">
        <v>809</v>
      </c>
      <c r="I856" s="46">
        <f>IF(H856=0,DATE(2026,10,29),IF(H856=1,DATE(2026,10,30),DATE(2026,11,2)+7*INT((H856-2)/3)+CHOOSE(MOD(H856-2,3)+1,0,2,4)))</f>
        <v/>
      </c>
    </row>
    <row r="857" ht="23.85" customHeight="1" s="24">
      <c r="A857" s="43" t="n">
        <v>856</v>
      </c>
      <c r="B857" s="44" t="inlineStr">
        <is>
          <t>Contrarreforma, Barroco e Roma papal (1528–1700)</t>
        </is>
      </c>
      <c r="C857" s="45" t="inlineStr">
        <is>
          <t>1600</t>
        </is>
      </c>
      <c r="D857" s="44" t="inlineStr">
        <is>
          <t>Giordano Bruno queimado em Campo de' Fiori</t>
        </is>
      </c>
      <c r="E857" s="44" t="inlineStr">
        <is>
          <t>Campo de' Fiori, Roma</t>
        </is>
      </c>
      <c r="F857" s="45" t="inlineStr">
        <is>
          <t>Pendente</t>
        </is>
      </c>
      <c r="G857" s="45" t="n">
        <v>1600</v>
      </c>
      <c r="H857" s="43" t="n">
        <v>810</v>
      </c>
      <c r="I857" s="46">
        <f>IF(H857=0,DATE(2026,10,29),IF(H857=1,DATE(2026,10,30),DATE(2026,11,2)+7*INT((H857-2)/3)+CHOOSE(MOD(H857-2,3)+1,0,2,4)))</f>
        <v/>
      </c>
    </row>
    <row r="858" ht="23.85" customHeight="1" s="24">
      <c r="A858" s="43" t="n">
        <v>857</v>
      </c>
      <c r="B858" s="44" t="inlineStr">
        <is>
          <t>Contrarreforma, Barroco e Roma papal (1528–1700)</t>
        </is>
      </c>
      <c r="C858" s="45" t="inlineStr">
        <is>
          <t>1600</t>
        </is>
      </c>
      <c r="D858" s="44" t="inlineStr">
        <is>
          <t>O Jubileu de 1600</t>
        </is>
      </c>
      <c r="E858" s="44" t="inlineStr">
        <is>
          <t>São Pedro, Roma</t>
        </is>
      </c>
      <c r="F858" s="45" t="inlineStr">
        <is>
          <t>Pendente</t>
        </is>
      </c>
      <c r="G858" s="45" t="n">
        <v>1600</v>
      </c>
      <c r="H858" s="43" t="n">
        <v>811</v>
      </c>
      <c r="I858" s="46">
        <f>IF(H858=0,DATE(2026,10,29),IF(H858=1,DATE(2026,10,30),DATE(2026,11,2)+7*INT((H858-2)/3)+CHOOSE(MOD(H858-2,3)+1,0,2,4)))</f>
        <v/>
      </c>
    </row>
    <row r="859" ht="23.85" customHeight="1" s="24">
      <c r="A859" s="43" t="n">
        <v>858</v>
      </c>
      <c r="B859" s="44" t="inlineStr">
        <is>
          <t>Contrarreforma, Barroco e Roma papal (1528–1700)</t>
        </is>
      </c>
      <c r="C859" s="45" t="inlineStr">
        <is>
          <t>1601</t>
        </is>
      </c>
      <c r="D859" s="44" t="inlineStr">
        <is>
          <t>A Capela Contarelli de Caravaggio</t>
        </is>
      </c>
      <c r="E859" s="44" t="inlineStr">
        <is>
          <t>San Luigi dei Francesi, Roma</t>
        </is>
      </c>
      <c r="F859" s="45" t="inlineStr">
        <is>
          <t>Pendente</t>
        </is>
      </c>
      <c r="G859" s="45" t="n">
        <v>1601</v>
      </c>
      <c r="H859" s="43" t="n">
        <v>812</v>
      </c>
      <c r="I859" s="46">
        <f>IF(H859=0,DATE(2026,10,29),IF(H859=1,DATE(2026,10,30),DATE(2026,11,2)+7*INT((H859-2)/3)+CHOOSE(MOD(H859-2,3)+1,0,2,4)))</f>
        <v/>
      </c>
    </row>
    <row r="860" ht="23.85" customHeight="1" s="24">
      <c r="A860" s="43" t="n">
        <v>859</v>
      </c>
      <c r="B860" s="44" t="inlineStr">
        <is>
          <t>Contrarreforma, Barroco e Roma papal (1528–1700)</t>
        </is>
      </c>
      <c r="C860" s="45" t="inlineStr">
        <is>
          <t>1606</t>
        </is>
      </c>
      <c r="D860" s="44" t="inlineStr">
        <is>
          <t>Caravaggio foge de Roma</t>
        </is>
      </c>
      <c r="E860" s="44" t="inlineStr">
        <is>
          <t>A definir (Roma)</t>
        </is>
      </c>
      <c r="F860" s="45" t="inlineStr">
        <is>
          <t>Pendente</t>
        </is>
      </c>
      <c r="G860" s="45" t="n">
        <v>1606</v>
      </c>
      <c r="H860" s="43" t="n">
        <v>813</v>
      </c>
      <c r="I860" s="46">
        <f>IF(H860=0,DATE(2026,10,29),IF(H860=1,DATE(2026,10,30),DATE(2026,11,2)+7*INT((H860-2)/3)+CHOOSE(MOD(H860-2,3)+1,0,2,4)))</f>
        <v/>
      </c>
    </row>
    <row r="861" ht="23.85" customHeight="1" s="24">
      <c r="A861" s="43" t="n">
        <v>860</v>
      </c>
      <c r="B861" s="44" t="inlineStr">
        <is>
          <t>Contrarreforma, Barroco e Roma papal (1528–1700)</t>
        </is>
      </c>
      <c r="C861" s="45" t="inlineStr">
        <is>
          <t>1610</t>
        </is>
      </c>
      <c r="D861" s="44" t="inlineStr">
        <is>
          <t>A Capela Paulina</t>
        </is>
      </c>
      <c r="E861" s="44" t="inlineStr">
        <is>
          <t>Santa Maria Maggiore, Roma</t>
        </is>
      </c>
      <c r="F861" s="45" t="inlineStr">
        <is>
          <t>Pendente</t>
        </is>
      </c>
      <c r="G861" s="45" t="n">
        <v>1610</v>
      </c>
      <c r="H861" s="43" t="n">
        <v>814</v>
      </c>
      <c r="I861" s="46">
        <f>IF(H861=0,DATE(2026,10,29),IF(H861=1,DATE(2026,10,30),DATE(2026,11,2)+7*INT((H861-2)/3)+CHOOSE(MOD(H861-2,3)+1,0,2,4)))</f>
        <v/>
      </c>
    </row>
    <row r="862" ht="23.85" customHeight="1" s="24">
      <c r="A862" s="43" t="n">
        <v>861</v>
      </c>
      <c r="B862" s="44" t="inlineStr">
        <is>
          <t>Contrarreforma, Barroco e Roma papal (1528–1700)</t>
        </is>
      </c>
      <c r="C862" s="45" t="inlineStr">
        <is>
          <t>1612</t>
        </is>
      </c>
      <c r="D862" s="44" t="inlineStr">
        <is>
          <t>Galileu e o telescópio</t>
        </is>
      </c>
      <c r="E862" s="44" t="inlineStr">
        <is>
          <t>Florença</t>
        </is>
      </c>
      <c r="F862" s="45" t="inlineStr">
        <is>
          <t>Pendente</t>
        </is>
      </c>
      <c r="G862" s="45" t="n">
        <v>1612</v>
      </c>
      <c r="H862" s="43" t="n">
        <v>815</v>
      </c>
      <c r="I862" s="46">
        <f>IF(H862=0,DATE(2026,10,29),IF(H862=1,DATE(2026,10,30),DATE(2026,11,2)+7*INT((H862-2)/3)+CHOOSE(MOD(H862-2,3)+1,0,2,4)))</f>
        <v/>
      </c>
    </row>
    <row r="863" ht="23.85" customHeight="1" s="24">
      <c r="A863" s="43" t="n">
        <v>862</v>
      </c>
      <c r="B863" s="44" t="inlineStr">
        <is>
          <t>Contrarreforma, Barroco e Roma papal (1528–1700)</t>
        </is>
      </c>
      <c r="C863" s="45" t="inlineStr">
        <is>
          <t>1614</t>
        </is>
      </c>
      <c r="D863" s="44" t="inlineStr">
        <is>
          <t>A Galleria Borghese</t>
        </is>
      </c>
      <c r="E863" s="44" t="inlineStr">
        <is>
          <t>Galleria Borghese, Roma</t>
        </is>
      </c>
      <c r="F863" s="45" t="inlineStr">
        <is>
          <t>Pendente</t>
        </is>
      </c>
      <c r="G863" s="45" t="n">
        <v>1614</v>
      </c>
      <c r="H863" s="43" t="n">
        <v>816</v>
      </c>
      <c r="I863" s="46">
        <f>IF(H863=0,DATE(2026,10,29),IF(H863=1,DATE(2026,10,30),DATE(2026,11,2)+7*INT((H863-2)/3)+CHOOSE(MOD(H863-2,3)+1,0,2,4)))</f>
        <v/>
      </c>
    </row>
    <row r="864" ht="23.85" customHeight="1" s="24">
      <c r="A864" s="43" t="n">
        <v>863</v>
      </c>
      <c r="B864" s="44" t="inlineStr">
        <is>
          <t>Contrarreforma, Barroco e Roma papal (1528–1700)</t>
        </is>
      </c>
      <c r="C864" s="45" t="inlineStr">
        <is>
          <t>1620</t>
        </is>
      </c>
      <c r="D864" s="44" t="inlineStr">
        <is>
          <t>Bernini, o jovem prodígio</t>
        </is>
      </c>
      <c r="E864" s="44" t="inlineStr">
        <is>
          <t>Galleria Borghese, Roma</t>
        </is>
      </c>
      <c r="F864" s="45" t="inlineStr">
        <is>
          <t>Pendente</t>
        </is>
      </c>
      <c r="G864" s="45" t="n">
        <v>1620</v>
      </c>
      <c r="H864" s="43" t="n">
        <v>817</v>
      </c>
      <c r="I864" s="46">
        <f>IF(H864=0,DATE(2026,10,29),IF(H864=1,DATE(2026,10,30),DATE(2026,11,2)+7*INT((H864-2)/3)+CHOOSE(MOD(H864-2,3)+1,0,2,4)))</f>
        <v/>
      </c>
    </row>
    <row r="865" ht="23.85" customHeight="1" s="24">
      <c r="A865" s="43" t="n">
        <v>864</v>
      </c>
      <c r="B865" s="44" t="inlineStr">
        <is>
          <t>Contrarreforma, Barroco e Roma papal (1528–1700)</t>
        </is>
      </c>
      <c r="C865" s="45" t="inlineStr">
        <is>
          <t>1621</t>
        </is>
      </c>
      <c r="D865" s="44" t="inlineStr">
        <is>
          <t>Gregório XV e a Propaganda Fide</t>
        </is>
      </c>
      <c r="E865" s="44" t="inlineStr">
        <is>
          <t>A definir (Roma)</t>
        </is>
      </c>
      <c r="F865" s="45" t="inlineStr">
        <is>
          <t>Pendente</t>
        </is>
      </c>
      <c r="G865" s="45" t="n">
        <v>1621</v>
      </c>
      <c r="H865" s="43" t="n">
        <v>818</v>
      </c>
      <c r="I865" s="46">
        <f>IF(H865=0,DATE(2026,10,29),IF(H865=1,DATE(2026,10,30),DATE(2026,11,2)+7*INT((H865-2)/3)+CHOOSE(MOD(H865-2,3)+1,0,2,4)))</f>
        <v/>
      </c>
    </row>
    <row r="866" ht="23.85" customHeight="1" s="24">
      <c r="A866" s="43" t="n">
        <v>865</v>
      </c>
      <c r="B866" s="44" t="inlineStr">
        <is>
          <t>Contrarreforma, Barroco e Roma papal (1528–1700)</t>
        </is>
      </c>
      <c r="C866" s="45" t="inlineStr">
        <is>
          <t>1623</t>
        </is>
      </c>
      <c r="D866" s="44" t="inlineStr">
        <is>
          <t>Urbano VIII Barberini</t>
        </is>
      </c>
      <c r="E866" s="44" t="inlineStr">
        <is>
          <t>Palácio Barberini, Roma</t>
        </is>
      </c>
      <c r="F866" s="45" t="inlineStr">
        <is>
          <t>Pendente</t>
        </is>
      </c>
      <c r="G866" s="45" t="n">
        <v>1623</v>
      </c>
      <c r="H866" s="43" t="n">
        <v>819</v>
      </c>
      <c r="I866" s="46">
        <f>IF(H866=0,DATE(2026,10,29),IF(H866=1,DATE(2026,10,30),DATE(2026,11,2)+7*INT((H866-2)/3)+CHOOSE(MOD(H866-2,3)+1,0,2,4)))</f>
        <v/>
      </c>
    </row>
    <row r="867" ht="23.85" customHeight="1" s="24">
      <c r="A867" s="43" t="n">
        <v>866</v>
      </c>
      <c r="B867" s="44" t="inlineStr">
        <is>
          <t>Contrarreforma, Barroco e Roma papal (1528–1700)</t>
        </is>
      </c>
      <c r="C867" s="45" t="inlineStr">
        <is>
          <t>1624</t>
        </is>
      </c>
      <c r="D867" s="44" t="inlineStr">
        <is>
          <t>O Baldaquino de São Pedro</t>
        </is>
      </c>
      <c r="E867" s="44" t="inlineStr">
        <is>
          <t>Basílica de São Pedro, Vaticano</t>
        </is>
      </c>
      <c r="F867" s="45" t="inlineStr">
        <is>
          <t>Pendente</t>
        </is>
      </c>
      <c r="G867" s="45" t="n">
        <v>1624</v>
      </c>
      <c r="H867" s="43" t="n">
        <v>820</v>
      </c>
      <c r="I867" s="46">
        <f>IF(H867=0,DATE(2026,10,29),IF(H867=1,DATE(2026,10,30),DATE(2026,11,2)+7*INT((H867-2)/3)+CHOOSE(MOD(H867-2,3)+1,0,2,4)))</f>
        <v/>
      </c>
    </row>
    <row r="868" ht="23.85" customHeight="1" s="24">
      <c r="A868" s="43" t="n">
        <v>867</v>
      </c>
      <c r="B868" s="44" t="inlineStr">
        <is>
          <t>Contrarreforma, Barroco e Roma papal (1528–1700)</t>
        </is>
      </c>
      <c r="C868" s="45" t="inlineStr">
        <is>
          <t>1629</t>
        </is>
      </c>
      <c r="D868" s="44" t="inlineStr">
        <is>
          <t>Borromini e Sant'Ivo</t>
        </is>
      </c>
      <c r="E868" s="44" t="inlineStr">
        <is>
          <t>Sant'Ivo alla Sapienza, Roma</t>
        </is>
      </c>
      <c r="F868" s="45" t="inlineStr">
        <is>
          <t>Pendente</t>
        </is>
      </c>
      <c r="G868" s="45" t="n">
        <v>1629</v>
      </c>
      <c r="H868" s="43" t="n">
        <v>821</v>
      </c>
      <c r="I868" s="46">
        <f>IF(H868=0,DATE(2026,10,29),IF(H868=1,DATE(2026,10,30),DATE(2026,11,2)+7*INT((H868-2)/3)+CHOOSE(MOD(H868-2,3)+1,0,2,4)))</f>
        <v/>
      </c>
    </row>
    <row r="869" ht="23.85" customHeight="1" s="24">
      <c r="A869" s="43" t="n">
        <v>868</v>
      </c>
      <c r="B869" s="44" t="inlineStr">
        <is>
          <t>Contrarreforma, Barroco e Roma papal (1528–1700)</t>
        </is>
      </c>
      <c r="C869" s="45" t="inlineStr">
        <is>
          <t>1632</t>
        </is>
      </c>
      <c r="D869" s="44" t="inlineStr">
        <is>
          <t>Galileu e o Diálogo</t>
        </is>
      </c>
      <c r="E869" s="44" t="inlineStr">
        <is>
          <t>A definir (Roma)</t>
        </is>
      </c>
      <c r="F869" s="45" t="inlineStr">
        <is>
          <t>Pendente</t>
        </is>
      </c>
      <c r="G869" s="45" t="n">
        <v>1632</v>
      </c>
      <c r="H869" s="43" t="n">
        <v>822</v>
      </c>
      <c r="I869" s="46">
        <f>IF(H869=0,DATE(2026,10,29),IF(H869=1,DATE(2026,10,30),DATE(2026,11,2)+7*INT((H869-2)/3)+CHOOSE(MOD(H869-2,3)+1,0,2,4)))</f>
        <v/>
      </c>
    </row>
    <row r="870" ht="23.85" customHeight="1" s="24">
      <c r="A870" s="43" t="n">
        <v>869</v>
      </c>
      <c r="B870" s="44" t="inlineStr">
        <is>
          <t>Contrarreforma, Barroco e Roma papal (1528–1700)</t>
        </is>
      </c>
      <c r="C870" s="45" t="inlineStr">
        <is>
          <t>1633</t>
        </is>
      </c>
      <c r="D870" s="44" t="inlineStr">
        <is>
          <t>O julgamento de Galileu</t>
        </is>
      </c>
      <c r="E870" s="44" t="inlineStr">
        <is>
          <t>Convento de Santa Maria sopra Minerva, Roma</t>
        </is>
      </c>
      <c r="F870" s="45" t="inlineStr">
        <is>
          <t>Pendente</t>
        </is>
      </c>
      <c r="G870" s="45" t="n">
        <v>1633</v>
      </c>
      <c r="H870" s="43" t="n">
        <v>823</v>
      </c>
      <c r="I870" s="46">
        <f>IF(H870=0,DATE(2026,10,29),IF(H870=1,DATE(2026,10,30),DATE(2026,11,2)+7*INT((H870-2)/3)+CHOOSE(MOD(H870-2,3)+1,0,2,4)))</f>
        <v/>
      </c>
    </row>
    <row r="871" ht="23.85" customHeight="1" s="24">
      <c r="A871" s="43" t="n">
        <v>870</v>
      </c>
      <c r="B871" s="44" t="inlineStr">
        <is>
          <t>Contrarreforma, Barroco e Roma papal (1528–1700)</t>
        </is>
      </c>
      <c r="C871" s="45" t="inlineStr">
        <is>
          <t>1640</t>
        </is>
      </c>
      <c r="D871" s="44" t="inlineStr">
        <is>
          <t>Borromini e San Carlo alle Quattro Fontane</t>
        </is>
      </c>
      <c r="E871" s="44" t="inlineStr">
        <is>
          <t>San Carlo alle Quattro Fontane, Roma</t>
        </is>
      </c>
      <c r="F871" s="45" t="inlineStr">
        <is>
          <t>Pendente</t>
        </is>
      </c>
      <c r="G871" s="45" t="n">
        <v>1640</v>
      </c>
      <c r="H871" s="43" t="n">
        <v>824</v>
      </c>
      <c r="I871" s="46">
        <f>IF(H871=0,DATE(2026,10,29),IF(H871=1,DATE(2026,10,30),DATE(2026,11,2)+7*INT((H871-2)/3)+CHOOSE(MOD(H871-2,3)+1,0,2,4)))</f>
        <v/>
      </c>
    </row>
    <row r="872" ht="23.85" customHeight="1" s="24">
      <c r="A872" s="43" t="n">
        <v>871</v>
      </c>
      <c r="B872" s="44" t="inlineStr">
        <is>
          <t>Contrarreforma, Barroco e Roma papal (1528–1700)</t>
        </is>
      </c>
      <c r="C872" s="45" t="inlineStr">
        <is>
          <t>1642</t>
        </is>
      </c>
      <c r="D872" s="44" t="inlineStr">
        <is>
          <t>A morte de Galileu</t>
        </is>
      </c>
      <c r="E872" s="44" t="inlineStr">
        <is>
          <t>Santa Croce, Florença</t>
        </is>
      </c>
      <c r="F872" s="45" t="inlineStr">
        <is>
          <t>Pendente</t>
        </is>
      </c>
      <c r="G872" s="45" t="n">
        <v>1642</v>
      </c>
      <c r="H872" s="43" t="n">
        <v>825</v>
      </c>
      <c r="I872" s="46">
        <f>IF(H872=0,DATE(2026,10,29),IF(H872=1,DATE(2026,10,30),DATE(2026,11,2)+7*INT((H872-2)/3)+CHOOSE(MOD(H872-2,3)+1,0,2,4)))</f>
        <v/>
      </c>
    </row>
    <row r="873" ht="23.85" customHeight="1" s="24">
      <c r="A873" s="43" t="n">
        <v>872</v>
      </c>
      <c r="B873" s="44" t="inlineStr">
        <is>
          <t>Contrarreforma, Barroco e Roma papal (1528–1700)</t>
        </is>
      </c>
      <c r="C873" s="45" t="inlineStr">
        <is>
          <t>1644</t>
        </is>
      </c>
      <c r="D873" s="44" t="inlineStr">
        <is>
          <t>Inocêncio X Pamphilj</t>
        </is>
      </c>
      <c r="E873" s="44" t="inlineStr">
        <is>
          <t>Piazza Navona, Roma</t>
        </is>
      </c>
      <c r="F873" s="45" t="inlineStr">
        <is>
          <t>Pendente</t>
        </is>
      </c>
      <c r="G873" s="45" t="n">
        <v>1644</v>
      </c>
      <c r="H873" s="43" t="n">
        <v>826</v>
      </c>
      <c r="I873" s="46">
        <f>IF(H873=0,DATE(2026,10,29),IF(H873=1,DATE(2026,10,30),DATE(2026,11,2)+7*INT((H873-2)/3)+CHOOSE(MOD(H873-2,3)+1,0,2,4)))</f>
        <v/>
      </c>
    </row>
    <row r="874" ht="23.85" customHeight="1" s="24">
      <c r="A874" s="43" t="n">
        <v>873</v>
      </c>
      <c r="B874" s="44" t="inlineStr">
        <is>
          <t>Contrarreforma, Barroco e Roma papal (1528–1700)</t>
        </is>
      </c>
      <c r="C874" s="45" t="inlineStr">
        <is>
          <t>1647</t>
        </is>
      </c>
      <c r="D874" s="44" t="inlineStr">
        <is>
          <t>A Fonte dos Quatro Rios</t>
        </is>
      </c>
      <c r="E874" s="44" t="inlineStr">
        <is>
          <t>Piazza Navona, Roma</t>
        </is>
      </c>
      <c r="F874" s="45" t="inlineStr">
        <is>
          <t>Pendente</t>
        </is>
      </c>
      <c r="G874" s="45" t="n">
        <v>1647</v>
      </c>
      <c r="H874" s="43" t="n">
        <v>827</v>
      </c>
      <c r="I874" s="46">
        <f>IF(H874=0,DATE(2026,10,29),IF(H874=1,DATE(2026,10,30),DATE(2026,11,2)+7*INT((H874-2)/3)+CHOOSE(MOD(H874-2,3)+1,0,2,4)))</f>
        <v/>
      </c>
    </row>
    <row r="875" ht="23.85" customHeight="1" s="24">
      <c r="A875" s="43" t="n">
        <v>874</v>
      </c>
      <c r="B875" s="44" t="inlineStr">
        <is>
          <t>Contrarreforma, Barroco e Roma papal (1528–1700)</t>
        </is>
      </c>
      <c r="C875" s="45" t="inlineStr">
        <is>
          <t>1650</t>
        </is>
      </c>
      <c r="D875" s="44" t="inlineStr">
        <is>
          <t>O Jubileu de 1650</t>
        </is>
      </c>
      <c r="E875" s="44" t="inlineStr">
        <is>
          <t>São Pedro, Roma</t>
        </is>
      </c>
      <c r="F875" s="45" t="inlineStr">
        <is>
          <t>Pendente</t>
        </is>
      </c>
      <c r="G875" s="45" t="n">
        <v>1650</v>
      </c>
      <c r="H875" s="43" t="n">
        <v>828</v>
      </c>
      <c r="I875" s="46">
        <f>IF(H875=0,DATE(2026,10,29),IF(H875=1,DATE(2026,10,30),DATE(2026,11,2)+7*INT((H875-2)/3)+CHOOSE(MOD(H875-2,3)+1,0,2,4)))</f>
        <v/>
      </c>
    </row>
    <row r="876" ht="23.85" customHeight="1" s="24">
      <c r="A876" s="43" t="n">
        <v>875</v>
      </c>
      <c r="B876" s="44" t="inlineStr">
        <is>
          <t>Contrarreforma, Barroco e Roma papal (1528–1700)</t>
        </is>
      </c>
      <c r="C876" s="45" t="inlineStr">
        <is>
          <t>1652</t>
        </is>
      </c>
      <c r="D876" s="44" t="inlineStr">
        <is>
          <t>O Êxtase de Santa Teresa</t>
        </is>
      </c>
      <c r="E876" s="44" t="inlineStr">
        <is>
          <t>Santa Maria della Vittoria, Roma</t>
        </is>
      </c>
      <c r="F876" s="45" t="inlineStr">
        <is>
          <t>Pendente</t>
        </is>
      </c>
      <c r="G876" s="45" t="n">
        <v>1652</v>
      </c>
      <c r="H876" s="43" t="n">
        <v>829</v>
      </c>
      <c r="I876" s="46">
        <f>IF(H876=0,DATE(2026,10,29),IF(H876=1,DATE(2026,10,30),DATE(2026,11,2)+7*INT((H876-2)/3)+CHOOSE(MOD(H876-2,3)+1,0,2,4)))</f>
        <v/>
      </c>
    </row>
    <row r="877" ht="23.85" customHeight="1" s="24">
      <c r="A877" s="43" t="n">
        <v>876</v>
      </c>
      <c r="B877" s="44" t="inlineStr">
        <is>
          <t>Contrarreforma, Barroco e Roma papal (1528–1700)</t>
        </is>
      </c>
      <c r="C877" s="45" t="inlineStr">
        <is>
          <t>1655</t>
        </is>
      </c>
      <c r="D877" s="44" t="inlineStr">
        <is>
          <t>Alexandre VII e Bernini</t>
        </is>
      </c>
      <c r="E877" s="44" t="inlineStr">
        <is>
          <t>Praça de São Pedro, Roma</t>
        </is>
      </c>
      <c r="F877" s="45" t="inlineStr">
        <is>
          <t>Pendente</t>
        </is>
      </c>
      <c r="G877" s="45" t="n">
        <v>1655</v>
      </c>
      <c r="H877" s="43" t="n">
        <v>830</v>
      </c>
      <c r="I877" s="46">
        <f>IF(H877=0,DATE(2026,10,29),IF(H877=1,DATE(2026,10,30),DATE(2026,11,2)+7*INT((H877-2)/3)+CHOOSE(MOD(H877-2,3)+1,0,2,4)))</f>
        <v/>
      </c>
    </row>
    <row r="878" ht="23.85" customHeight="1" s="24">
      <c r="A878" s="43" t="n">
        <v>877</v>
      </c>
      <c r="B878" s="44" t="inlineStr">
        <is>
          <t>Contrarreforma, Barroco e Roma papal (1528–1700)</t>
        </is>
      </c>
      <c r="C878" s="45" t="inlineStr">
        <is>
          <t>1656</t>
        </is>
      </c>
      <c r="D878" s="44" t="inlineStr">
        <is>
          <t>A colunata da Praça de São Pedro</t>
        </is>
      </c>
      <c r="E878" s="44" t="inlineStr">
        <is>
          <t>Praça de São Pedro, Roma</t>
        </is>
      </c>
      <c r="F878" s="45" t="inlineStr">
        <is>
          <t>Pendente</t>
        </is>
      </c>
      <c r="G878" s="45" t="n">
        <v>1656</v>
      </c>
      <c r="H878" s="43" t="n">
        <v>831</v>
      </c>
      <c r="I878" s="46">
        <f>IF(H878=0,DATE(2026,10,29),IF(H878=1,DATE(2026,10,30),DATE(2026,11,2)+7*INT((H878-2)/3)+CHOOSE(MOD(H878-2,3)+1,0,2,4)))</f>
        <v/>
      </c>
    </row>
    <row r="879" ht="23.85" customHeight="1" s="24">
      <c r="A879" s="43" t="n">
        <v>878</v>
      </c>
      <c r="B879" s="44" t="inlineStr">
        <is>
          <t>Contrarreforma, Barroco e Roma papal (1528–1700)</t>
        </is>
      </c>
      <c r="C879" s="45" t="inlineStr">
        <is>
          <t>1660</t>
        </is>
      </c>
      <c r="D879" s="44" t="inlineStr">
        <is>
          <t>Pietro da Cortona e o teto dos Barberini</t>
        </is>
      </c>
      <c r="E879" s="44" t="inlineStr">
        <is>
          <t>Palácio Barberini, Roma</t>
        </is>
      </c>
      <c r="F879" s="45" t="inlineStr">
        <is>
          <t>Pendente</t>
        </is>
      </c>
      <c r="G879" s="45" t="n">
        <v>1660</v>
      </c>
      <c r="H879" s="43" t="n">
        <v>832</v>
      </c>
      <c r="I879" s="46">
        <f>IF(H879=0,DATE(2026,10,29),IF(H879=1,DATE(2026,10,30),DATE(2026,11,2)+7*INT((H879-2)/3)+CHOOSE(MOD(H879-2,3)+1,0,2,4)))</f>
        <v/>
      </c>
    </row>
    <row r="880" ht="23.85" customHeight="1" s="24">
      <c r="A880" s="43" t="n">
        <v>879</v>
      </c>
      <c r="B880" s="44" t="inlineStr">
        <is>
          <t>Contrarreforma, Barroco e Roma papal (1528–1700)</t>
        </is>
      </c>
      <c r="C880" s="45" t="inlineStr">
        <is>
          <t>1665</t>
        </is>
      </c>
      <c r="D880" s="44" t="inlineStr">
        <is>
          <t>A Cadeira de São Pedro</t>
        </is>
      </c>
      <c r="E880" s="44" t="inlineStr">
        <is>
          <t>Basílica de São Pedro, Vaticano</t>
        </is>
      </c>
      <c r="F880" s="45" t="inlineStr">
        <is>
          <t>Pendente</t>
        </is>
      </c>
      <c r="G880" s="45" t="n">
        <v>1665</v>
      </c>
      <c r="H880" s="43" t="n">
        <v>833</v>
      </c>
      <c r="I880" s="46">
        <f>IF(H880=0,DATE(2026,10,29),IF(H880=1,DATE(2026,10,30),DATE(2026,11,2)+7*INT((H880-2)/3)+CHOOSE(MOD(H880-2,3)+1,0,2,4)))</f>
        <v/>
      </c>
    </row>
    <row r="881" ht="23.85" customHeight="1" s="24">
      <c r="A881" s="43" t="n">
        <v>880</v>
      </c>
      <c r="B881" s="44" t="inlineStr">
        <is>
          <t>Contrarreforma, Barroco e Roma papal (1528–1700)</t>
        </is>
      </c>
      <c r="C881" s="45" t="inlineStr">
        <is>
          <t>1667</t>
        </is>
      </c>
      <c r="D881" s="44" t="inlineStr">
        <is>
          <t>A Scala Regia e Bernini</t>
        </is>
      </c>
      <c r="E881" s="44" t="inlineStr">
        <is>
          <t>Vaticano, Roma</t>
        </is>
      </c>
      <c r="F881" s="45" t="inlineStr">
        <is>
          <t>Pendente</t>
        </is>
      </c>
      <c r="G881" s="45" t="n">
        <v>1667</v>
      </c>
      <c r="H881" s="43" t="n">
        <v>834</v>
      </c>
      <c r="I881" s="46">
        <f>IF(H881=0,DATE(2026,10,29),IF(H881=1,DATE(2026,10,30),DATE(2026,11,2)+7*INT((H881-2)/3)+CHOOSE(MOD(H881-2,3)+1,0,2,4)))</f>
        <v/>
      </c>
    </row>
    <row r="882" ht="23.85" customHeight="1" s="24">
      <c r="A882" s="43" t="n">
        <v>881</v>
      </c>
      <c r="B882" s="44" t="inlineStr">
        <is>
          <t>Contrarreforma, Barroco e Roma papal (1528–1700)</t>
        </is>
      </c>
      <c r="C882" s="45" t="inlineStr">
        <is>
          <t>1670</t>
        </is>
      </c>
      <c r="D882" s="44" t="inlineStr">
        <is>
          <t>A Fontana de Trevi: o projeto original</t>
        </is>
      </c>
      <c r="E882" s="44" t="inlineStr">
        <is>
          <t>Fontana di Trevi, Roma</t>
        </is>
      </c>
      <c r="F882" s="45" t="inlineStr">
        <is>
          <t>Pendente</t>
        </is>
      </c>
      <c r="G882" s="45" t="n">
        <v>1670</v>
      </c>
      <c r="H882" s="43" t="n">
        <v>835</v>
      </c>
      <c r="I882" s="46">
        <f>IF(H882=0,DATE(2026,10,29),IF(H882=1,DATE(2026,10,30),DATE(2026,11,2)+7*INT((H882-2)/3)+CHOOSE(MOD(H882-2,3)+1,0,2,4)))</f>
        <v/>
      </c>
    </row>
    <row r="883" ht="23.85" customHeight="1" s="24">
      <c r="A883" s="43" t="n">
        <v>882</v>
      </c>
      <c r="B883" s="44" t="inlineStr">
        <is>
          <t>Contrarreforma, Barroco e Roma papal (1528–1700)</t>
        </is>
      </c>
      <c r="C883" s="45" t="inlineStr">
        <is>
          <t>1675</t>
        </is>
      </c>
      <c r="D883" s="44" t="inlineStr">
        <is>
          <t>O Jubileu de 1675</t>
        </is>
      </c>
      <c r="E883" s="44" t="inlineStr">
        <is>
          <t>São Pedro, Roma</t>
        </is>
      </c>
      <c r="F883" s="45" t="inlineStr">
        <is>
          <t>Pendente</t>
        </is>
      </c>
      <c r="G883" s="45" t="n">
        <v>1675</v>
      </c>
      <c r="H883" s="43" t="n">
        <v>836</v>
      </c>
      <c r="I883" s="46">
        <f>IF(H883=0,DATE(2026,10,29),IF(H883=1,DATE(2026,10,30),DATE(2026,11,2)+7*INT((H883-2)/3)+CHOOSE(MOD(H883-2,3)+1,0,2,4)))</f>
        <v/>
      </c>
    </row>
    <row r="884" ht="23.85" customHeight="1" s="24">
      <c r="A884" s="43" t="n">
        <v>883</v>
      </c>
      <c r="B884" s="44" t="inlineStr">
        <is>
          <t>Contrarreforma, Barroco e Roma papal (1528–1700)</t>
        </is>
      </c>
      <c r="C884" s="45" t="inlineStr">
        <is>
          <t>1680</t>
        </is>
      </c>
      <c r="D884" s="44" t="inlineStr">
        <is>
          <t>A morte de Bernini</t>
        </is>
      </c>
      <c r="E884" s="44" t="inlineStr">
        <is>
          <t>Santa Maria Maggiore, Roma</t>
        </is>
      </c>
      <c r="F884" s="45" t="inlineStr">
        <is>
          <t>Pendente</t>
        </is>
      </c>
      <c r="G884" s="45" t="n">
        <v>1680</v>
      </c>
      <c r="H884" s="43" t="n">
        <v>837</v>
      </c>
      <c r="I884" s="46">
        <f>IF(H884=0,DATE(2026,10,29),IF(H884=1,DATE(2026,10,30),DATE(2026,11,2)+7*INT((H884-2)/3)+CHOOSE(MOD(H884-2,3)+1,0,2,4)))</f>
        <v/>
      </c>
    </row>
    <row r="885" ht="23.85" customHeight="1" s="24">
      <c r="A885" s="43" t="n">
        <v>884</v>
      </c>
      <c r="B885" s="44" t="inlineStr">
        <is>
          <t>Contrarreforma, Barroco e Roma papal (1528–1700)</t>
        </is>
      </c>
      <c r="C885" s="45" t="inlineStr">
        <is>
          <t>1685</t>
        </is>
      </c>
      <c r="D885" s="44" t="inlineStr">
        <is>
          <t>Vivaldi nasce em Veneza</t>
        </is>
      </c>
      <c r="E885" s="44" t="inlineStr">
        <is>
          <t>Veneza</t>
        </is>
      </c>
      <c r="F885" s="45" t="inlineStr">
        <is>
          <t>Pendente</t>
        </is>
      </c>
      <c r="G885" s="45" t="n">
        <v>1685</v>
      </c>
      <c r="H885" s="43" t="n">
        <v>838</v>
      </c>
      <c r="I885" s="46">
        <f>IF(H885=0,DATE(2026,10,29),IF(H885=1,DATE(2026,10,30),DATE(2026,11,2)+7*INT((H885-2)/3)+CHOOSE(MOD(H885-2,3)+1,0,2,4)))</f>
        <v/>
      </c>
    </row>
    <row r="886" ht="23.85" customHeight="1" s="24">
      <c r="A886" s="43" t="n">
        <v>885</v>
      </c>
      <c r="B886" s="44" t="inlineStr">
        <is>
          <t>Contrarreforma, Barroco e Roma papal (1528–1700)</t>
        </is>
      </c>
      <c r="C886" s="45" t="inlineStr">
        <is>
          <t>1686</t>
        </is>
      </c>
      <c r="D886" s="44" t="inlineStr">
        <is>
          <t>A rainha Cristina da Suécia em Roma</t>
        </is>
      </c>
      <c r="E886" s="44" t="inlineStr">
        <is>
          <t>Palácio Corsini, Roma</t>
        </is>
      </c>
      <c r="F886" s="45" t="inlineStr">
        <is>
          <t>Pendente</t>
        </is>
      </c>
      <c r="G886" s="45" t="n">
        <v>1686</v>
      </c>
      <c r="H886" s="43" t="n">
        <v>839</v>
      </c>
      <c r="I886" s="46">
        <f>IF(H886=0,DATE(2026,10,29),IF(H886=1,DATE(2026,10,30),DATE(2026,11,2)+7*INT((H886-2)/3)+CHOOSE(MOD(H886-2,3)+1,0,2,4)))</f>
        <v/>
      </c>
    </row>
    <row r="887" ht="23.85" customHeight="1" s="24">
      <c r="A887" s="43" t="n">
        <v>886</v>
      </c>
      <c r="B887" s="44" t="inlineStr">
        <is>
          <t>Contrarreforma, Barroco e Roma papal (1528–1700)</t>
        </is>
      </c>
      <c r="C887" s="45" t="inlineStr">
        <is>
          <t>1689</t>
        </is>
      </c>
      <c r="D887" s="44" t="inlineStr">
        <is>
          <t>Alexandre VIII e a coleção Ottoboni</t>
        </is>
      </c>
      <c r="E887" s="44" t="inlineStr">
        <is>
          <t>A definir (Roma)</t>
        </is>
      </c>
      <c r="F887" s="45" t="inlineStr">
        <is>
          <t>Pendente</t>
        </is>
      </c>
      <c r="G887" s="45" t="n">
        <v>1689</v>
      </c>
      <c r="H887" s="43" t="n">
        <v>840</v>
      </c>
      <c r="I887" s="46">
        <f>IF(H887=0,DATE(2026,10,29),IF(H887=1,DATE(2026,10,30),DATE(2026,11,2)+7*INT((H887-2)/3)+CHOOSE(MOD(H887-2,3)+1,0,2,4)))</f>
        <v/>
      </c>
    </row>
    <row r="888" ht="23.85" customHeight="1" s="24">
      <c r="A888" s="43" t="n">
        <v>887</v>
      </c>
      <c r="B888" s="44" t="inlineStr">
        <is>
          <t>Contrarreforma, Barroco e Roma papal (1528–1700)</t>
        </is>
      </c>
      <c r="C888" s="45" t="inlineStr">
        <is>
          <t>1690</t>
        </is>
      </c>
      <c r="D888" s="44" t="inlineStr">
        <is>
          <t>A Arcádia: a academia dos poetas</t>
        </is>
      </c>
      <c r="E888" s="44" t="inlineStr">
        <is>
          <t>A definir (Roma)</t>
        </is>
      </c>
      <c r="F888" s="45" t="inlineStr">
        <is>
          <t>Pendente</t>
        </is>
      </c>
      <c r="G888" s="45" t="n">
        <v>1690</v>
      </c>
      <c r="H888" s="43" t="n">
        <v>841</v>
      </c>
      <c r="I888" s="46">
        <f>IF(H888=0,DATE(2026,10,29),IF(H888=1,DATE(2026,10,30),DATE(2026,11,2)+7*INT((H888-2)/3)+CHOOSE(MOD(H888-2,3)+1,0,2,4)))</f>
        <v/>
      </c>
    </row>
    <row r="889" ht="23.85" customHeight="1" s="24">
      <c r="A889" s="43" t="n">
        <v>888</v>
      </c>
      <c r="B889" s="44" t="inlineStr">
        <is>
          <t>Contrarreforma, Barroco e Roma papal (1528–1700)</t>
        </is>
      </c>
      <c r="C889" s="45" t="inlineStr">
        <is>
          <t>1695</t>
        </is>
      </c>
      <c r="D889" s="44" t="inlineStr">
        <is>
          <t>Corelli e a música barroca</t>
        </is>
      </c>
      <c r="E889" s="44" t="inlineStr">
        <is>
          <t>A definir (Roma)</t>
        </is>
      </c>
      <c r="F889" s="45" t="inlineStr">
        <is>
          <t>Pendente</t>
        </is>
      </c>
      <c r="G889" s="45" t="n">
        <v>1695</v>
      </c>
      <c r="H889" s="43" t="n">
        <v>842</v>
      </c>
      <c r="I889" s="46">
        <f>IF(H889=0,DATE(2026,10,29),IF(H889=1,DATE(2026,10,30),DATE(2026,11,2)+7*INT((H889-2)/3)+CHOOSE(MOD(H889-2,3)+1,0,2,4)))</f>
        <v/>
      </c>
    </row>
    <row r="890" ht="23.85" customHeight="1" s="24">
      <c r="A890" s="43" t="n">
        <v>889</v>
      </c>
      <c r="B890" s="44" t="inlineStr">
        <is>
          <t>Contrarreforma, Barroco e Roma papal (1528–1700)</t>
        </is>
      </c>
      <c r="C890" s="45" t="inlineStr">
        <is>
          <t>1700</t>
        </is>
      </c>
      <c r="D890" s="44" t="inlineStr">
        <is>
          <t>O Jubileu de 1700</t>
        </is>
      </c>
      <c r="E890" s="44" t="inlineStr">
        <is>
          <t>São Pedro, Roma</t>
        </is>
      </c>
      <c r="F890" s="45" t="inlineStr">
        <is>
          <t>Pendente</t>
        </is>
      </c>
      <c r="G890" s="45" t="n">
        <v>1700</v>
      </c>
      <c r="H890" s="43" t="n">
        <v>843</v>
      </c>
      <c r="I890" s="46">
        <f>IF(H890=0,DATE(2026,10,29),IF(H890=1,DATE(2026,10,30),DATE(2026,11,2)+7*INT((H890-2)/3)+CHOOSE(MOD(H890-2,3)+1,0,2,4)))</f>
        <v/>
      </c>
    </row>
    <row r="891" ht="23.85" customHeight="1" s="24">
      <c r="A891" s="43" t="n">
        <v>890</v>
      </c>
      <c r="B891" s="44" t="inlineStr">
        <is>
          <t>Século XVIII: Grand Tour, Iluminismo e Napoleão (1701–1814)</t>
        </is>
      </c>
      <c r="C891" s="45" t="inlineStr">
        <is>
          <t>1701</t>
        </is>
      </c>
      <c r="D891" s="44" t="inlineStr">
        <is>
          <t>A Guerra de Sucessão Espanhola na Itália</t>
        </is>
      </c>
      <c r="E891" s="44" t="inlineStr">
        <is>
          <t>Milão</t>
        </is>
      </c>
      <c r="F891" s="45" t="inlineStr">
        <is>
          <t>Pendente</t>
        </is>
      </c>
      <c r="G891" s="45" t="n">
        <v>1701</v>
      </c>
      <c r="H891" s="43" t="n">
        <v>844</v>
      </c>
      <c r="I891" s="46">
        <f>IF(H891=0,DATE(2026,10,29),IF(H891=1,DATE(2026,10,30),DATE(2026,11,2)+7*INT((H891-2)/3)+CHOOSE(MOD(H891-2,3)+1,0,2,4)))</f>
        <v/>
      </c>
    </row>
    <row r="892" ht="23.85" customHeight="1" s="24">
      <c r="A892" s="43" t="n">
        <v>891</v>
      </c>
      <c r="B892" s="44" t="inlineStr">
        <is>
          <t>Século XVIII: Grand Tour, Iluminismo e Napoleão (1701–1814)</t>
        </is>
      </c>
      <c r="C892" s="45" t="inlineStr">
        <is>
          <t>1703</t>
        </is>
      </c>
      <c r="D892" s="44" t="inlineStr">
        <is>
          <t>Vivaldi, padre e compositor</t>
        </is>
      </c>
      <c r="E892" s="44" t="inlineStr">
        <is>
          <t>Ospedale della Pietà, Veneza</t>
        </is>
      </c>
      <c r="F892" s="45" t="inlineStr">
        <is>
          <t>Pendente</t>
        </is>
      </c>
      <c r="G892" s="45" t="n">
        <v>1703</v>
      </c>
      <c r="H892" s="43" t="n">
        <v>845</v>
      </c>
      <c r="I892" s="46">
        <f>IF(H892=0,DATE(2026,10,29),IF(H892=1,DATE(2026,10,30),DATE(2026,11,2)+7*INT((H892-2)/3)+CHOOSE(MOD(H892-2,3)+1,0,2,4)))</f>
        <v/>
      </c>
    </row>
    <row r="893" ht="23.85" customHeight="1" s="24">
      <c r="A893" s="43" t="n">
        <v>892</v>
      </c>
      <c r="B893" s="44" t="inlineStr">
        <is>
          <t>Século XVIII: Grand Tour, Iluminismo e Napoleão (1701–1814)</t>
        </is>
      </c>
      <c r="C893" s="45" t="inlineStr">
        <is>
          <t>1711</t>
        </is>
      </c>
      <c r="D893" s="44" t="inlineStr">
        <is>
          <t>Vivaldi e o Estro Armonico</t>
        </is>
      </c>
      <c r="E893" s="44" t="inlineStr">
        <is>
          <t>Veneza</t>
        </is>
      </c>
      <c r="F893" s="45" t="inlineStr">
        <is>
          <t>Pendente</t>
        </is>
      </c>
      <c r="G893" s="45" t="n">
        <v>1711</v>
      </c>
      <c r="H893" s="43" t="n">
        <v>846</v>
      </c>
      <c r="I893" s="46">
        <f>IF(H893=0,DATE(2026,10,29),IF(H893=1,DATE(2026,10,30),DATE(2026,11,2)+7*INT((H893-2)/3)+CHOOSE(MOD(H893-2,3)+1,0,2,4)))</f>
        <v/>
      </c>
    </row>
    <row r="894" ht="23.85" customHeight="1" s="24">
      <c r="A894" s="43" t="n">
        <v>893</v>
      </c>
      <c r="B894" s="44" t="inlineStr">
        <is>
          <t>Século XVIII: Grand Tour, Iluminismo e Napoleão (1701–1814)</t>
        </is>
      </c>
      <c r="C894" s="45" t="inlineStr">
        <is>
          <t>1723</t>
        </is>
      </c>
      <c r="D894" s="44" t="inlineStr">
        <is>
          <t>A Escada da Praça de Espanha</t>
        </is>
      </c>
      <c r="E894" s="44" t="inlineStr">
        <is>
          <t>Escadaria da Trinità dei Monti, Roma</t>
        </is>
      </c>
      <c r="F894" s="45" t="inlineStr">
        <is>
          <t>Pendente</t>
        </is>
      </c>
      <c r="G894" s="45" t="n">
        <v>1723</v>
      </c>
      <c r="H894" s="43" t="n">
        <v>847</v>
      </c>
      <c r="I894" s="46">
        <f>IF(H894=0,DATE(2026,10,29),IF(H894=1,DATE(2026,10,30),DATE(2026,11,2)+7*INT((H894-2)/3)+CHOOSE(MOD(H894-2,3)+1,0,2,4)))</f>
        <v/>
      </c>
    </row>
    <row r="895" ht="23.85" customHeight="1" s="24">
      <c r="A895" s="43" t="n">
        <v>894</v>
      </c>
      <c r="B895" s="44" t="inlineStr">
        <is>
          <t>Século XVIII: Grand Tour, Iluminismo e Napoleão (1701–1814)</t>
        </is>
      </c>
      <c r="C895" s="45" t="inlineStr">
        <is>
          <t>1730</t>
        </is>
      </c>
      <c r="D895" s="44" t="inlineStr">
        <is>
          <t>O Grand Tour: a Itália dos viajantes</t>
        </is>
      </c>
      <c r="E895" s="44" t="inlineStr">
        <is>
          <t>A definir (Roma)</t>
        </is>
      </c>
      <c r="F895" s="45" t="inlineStr">
        <is>
          <t>Pendente</t>
        </is>
      </c>
      <c r="G895" s="45" t="n">
        <v>1730</v>
      </c>
      <c r="H895" s="43" t="n">
        <v>848</v>
      </c>
      <c r="I895" s="46">
        <f>IF(H895=0,DATE(2026,10,29),IF(H895=1,DATE(2026,10,30),DATE(2026,11,2)+7*INT((H895-2)/3)+CHOOSE(MOD(H895-2,3)+1,0,2,4)))</f>
        <v/>
      </c>
    </row>
    <row r="896" ht="23.85" customHeight="1" s="24">
      <c r="A896" s="43" t="n">
        <v>895</v>
      </c>
      <c r="B896" s="44" t="inlineStr">
        <is>
          <t>Século XVIII: Grand Tour, Iluminismo e Napoleão (1701–1814)</t>
        </is>
      </c>
      <c r="C896" s="45" t="inlineStr">
        <is>
          <t>1732</t>
        </is>
      </c>
      <c r="D896" s="44" t="inlineStr">
        <is>
          <t>A Fontana di Trevi começa</t>
        </is>
      </c>
      <c r="E896" s="44" t="inlineStr">
        <is>
          <t>Fontana di Trevi, Roma</t>
        </is>
      </c>
      <c r="F896" s="45" t="inlineStr">
        <is>
          <t>Pendente</t>
        </is>
      </c>
      <c r="G896" s="45" t="n">
        <v>1732</v>
      </c>
      <c r="H896" s="43" t="n">
        <v>849</v>
      </c>
      <c r="I896" s="46">
        <f>IF(H896=0,DATE(2026,10,29),IF(H896=1,DATE(2026,10,30),DATE(2026,11,2)+7*INT((H896-2)/3)+CHOOSE(MOD(H896-2,3)+1,0,2,4)))</f>
        <v/>
      </c>
    </row>
    <row r="897" ht="23.85" customHeight="1" s="24">
      <c r="A897" s="43" t="n">
        <v>896</v>
      </c>
      <c r="B897" s="44" t="inlineStr">
        <is>
          <t>Século XVIII: Grand Tour, Iluminismo e Napoleão (1701–1814)</t>
        </is>
      </c>
      <c r="C897" s="45" t="inlineStr">
        <is>
          <t>1738</t>
        </is>
      </c>
      <c r="D897" s="44" t="inlineStr">
        <is>
          <t>Herculano é redescoberta</t>
        </is>
      </c>
      <c r="E897" s="44" t="inlineStr">
        <is>
          <t>Herculano</t>
        </is>
      </c>
      <c r="F897" s="45" t="inlineStr">
        <is>
          <t>Pendente</t>
        </is>
      </c>
      <c r="G897" s="45" t="n">
        <v>1738</v>
      </c>
      <c r="H897" s="43" t="n">
        <v>850</v>
      </c>
      <c r="I897" s="46">
        <f>IF(H897=0,DATE(2026,10,29),IF(H897=1,DATE(2026,10,30),DATE(2026,11,2)+7*INT((H897-2)/3)+CHOOSE(MOD(H897-2,3)+1,0,2,4)))</f>
        <v/>
      </c>
    </row>
    <row r="898" ht="23.85" customHeight="1" s="24">
      <c r="A898" s="43" t="n">
        <v>897</v>
      </c>
      <c r="B898" s="44" t="inlineStr">
        <is>
          <t>Século XVIII: Grand Tour, Iluminismo e Napoleão (1701–1814)</t>
        </is>
      </c>
      <c r="C898" s="45" t="inlineStr">
        <is>
          <t>1748</t>
        </is>
      </c>
      <c r="D898" s="44" t="inlineStr">
        <is>
          <t>Pompeia é redescoberta</t>
        </is>
      </c>
      <c r="E898" s="44" t="inlineStr">
        <is>
          <t>Pompeia</t>
        </is>
      </c>
      <c r="F898" s="45" t="inlineStr">
        <is>
          <t>Pendente</t>
        </is>
      </c>
      <c r="G898" s="45" t="n">
        <v>1748</v>
      </c>
      <c r="H898" s="43" t="n">
        <v>851</v>
      </c>
      <c r="I898" s="46">
        <f>IF(H898=0,DATE(2026,10,29),IF(H898=1,DATE(2026,10,30),DATE(2026,11,2)+7*INT((H898-2)/3)+CHOOSE(MOD(H898-2,3)+1,0,2,4)))</f>
        <v/>
      </c>
    </row>
    <row r="899" ht="23.85" customHeight="1" s="24">
      <c r="A899" s="43" t="n">
        <v>898</v>
      </c>
      <c r="B899" s="44" t="inlineStr">
        <is>
          <t>Século XVIII: Grand Tour, Iluminismo e Napoleão (1701–1814)</t>
        </is>
      </c>
      <c r="C899" s="45" t="inlineStr">
        <is>
          <t>1750</t>
        </is>
      </c>
      <c r="D899" s="44" t="inlineStr">
        <is>
          <t>O Jubileu de 1750</t>
        </is>
      </c>
      <c r="E899" s="44" t="inlineStr">
        <is>
          <t>São Pedro, Roma</t>
        </is>
      </c>
      <c r="F899" s="45" t="inlineStr">
        <is>
          <t>Pendente</t>
        </is>
      </c>
      <c r="G899" s="45" t="n">
        <v>1750</v>
      </c>
      <c r="H899" s="43" t="n">
        <v>852</v>
      </c>
      <c r="I899" s="46">
        <f>IF(H899=0,DATE(2026,10,29),IF(H899=1,DATE(2026,10,30),DATE(2026,11,2)+7*INT((H899-2)/3)+CHOOSE(MOD(H899-2,3)+1,0,2,4)))</f>
        <v/>
      </c>
    </row>
    <row r="900" ht="23.85" customHeight="1" s="24">
      <c r="A900" s="43" t="n">
        <v>899</v>
      </c>
      <c r="B900" s="44" t="inlineStr">
        <is>
          <t>Século XVIII: Grand Tour, Iluminismo e Napoleão (1701–1814)</t>
        </is>
      </c>
      <c r="C900" s="45" t="inlineStr">
        <is>
          <t>1755</t>
        </is>
      </c>
      <c r="D900" s="44" t="inlineStr">
        <is>
          <t>Winckelmann em Roma</t>
        </is>
      </c>
      <c r="E900" s="44" t="inlineStr">
        <is>
          <t>A definir (Roma)</t>
        </is>
      </c>
      <c r="F900" s="45" t="inlineStr">
        <is>
          <t>Pendente</t>
        </is>
      </c>
      <c r="G900" s="45" t="n">
        <v>1755</v>
      </c>
      <c r="H900" s="43" t="n">
        <v>853</v>
      </c>
      <c r="I900" s="46">
        <f>IF(H900=0,DATE(2026,10,29),IF(H900=1,DATE(2026,10,30),DATE(2026,11,2)+7*INT((H900-2)/3)+CHOOSE(MOD(H900-2,3)+1,0,2,4)))</f>
        <v/>
      </c>
    </row>
    <row r="901" ht="23.85" customHeight="1" s="24">
      <c r="A901" s="43" t="n">
        <v>900</v>
      </c>
      <c r="B901" s="44" t="inlineStr">
        <is>
          <t>Século XVIII: Grand Tour, Iluminismo e Napoleão (1701–1814)</t>
        </is>
      </c>
      <c r="C901" s="45" t="inlineStr">
        <is>
          <t>1757</t>
        </is>
      </c>
      <c r="D901" s="44" t="inlineStr">
        <is>
          <t>Canova nasce em Possagno</t>
        </is>
      </c>
      <c r="E901" s="44" t="inlineStr">
        <is>
          <t>Possagno</t>
        </is>
      </c>
      <c r="F901" s="45" t="inlineStr">
        <is>
          <t>Pendente</t>
        </is>
      </c>
      <c r="G901" s="45" t="n">
        <v>1757</v>
      </c>
      <c r="H901" s="43" t="n">
        <v>854</v>
      </c>
      <c r="I901" s="46">
        <f>IF(H901=0,DATE(2026,10,29),IF(H901=1,DATE(2026,10,30),DATE(2026,11,2)+7*INT((H901-2)/3)+CHOOSE(MOD(H901-2,3)+1,0,2,4)))</f>
        <v/>
      </c>
    </row>
    <row r="902" ht="23.85" customHeight="1" s="24">
      <c r="A902" s="43" t="n">
        <v>901</v>
      </c>
      <c r="B902" s="44" t="inlineStr">
        <is>
          <t>Século XVIII: Grand Tour, Iluminismo e Napoleão (1701–1814)</t>
        </is>
      </c>
      <c r="C902" s="45" t="inlineStr">
        <is>
          <t>1762</t>
        </is>
      </c>
      <c r="D902" s="44" t="inlineStr">
        <is>
          <t>Casanova: aventuras em Veneza</t>
        </is>
      </c>
      <c r="E902" s="44" t="inlineStr">
        <is>
          <t>Veneza</t>
        </is>
      </c>
      <c r="F902" s="45" t="inlineStr">
        <is>
          <t>Pendente</t>
        </is>
      </c>
      <c r="G902" s="45" t="n">
        <v>1762</v>
      </c>
      <c r="H902" s="43" t="n">
        <v>855</v>
      </c>
      <c r="I902" s="46">
        <f>IF(H902=0,DATE(2026,10,29),IF(H902=1,DATE(2026,10,30),DATE(2026,11,2)+7*INT((H902-2)/3)+CHOOSE(MOD(H902-2,3)+1,0,2,4)))</f>
        <v/>
      </c>
    </row>
    <row r="903" ht="23.85" customHeight="1" s="24">
      <c r="A903" s="43" t="n">
        <v>902</v>
      </c>
      <c r="B903" s="44" t="inlineStr">
        <is>
          <t>Século XVIII: Grand Tour, Iluminismo e Napoleão (1701–1814)</t>
        </is>
      </c>
      <c r="C903" s="45" t="inlineStr">
        <is>
          <t>1764</t>
        </is>
      </c>
      <c r="D903" s="44" t="inlineStr">
        <is>
          <t>Beccaria e os Delitos e as Penas</t>
        </is>
      </c>
      <c r="E903" s="44" t="inlineStr">
        <is>
          <t>Milão</t>
        </is>
      </c>
      <c r="F903" s="45" t="inlineStr">
        <is>
          <t>Pendente</t>
        </is>
      </c>
      <c r="G903" s="45" t="n">
        <v>1764</v>
      </c>
      <c r="H903" s="43" t="n">
        <v>856</v>
      </c>
      <c r="I903" s="46">
        <f>IF(H903=0,DATE(2026,10,29),IF(H903=1,DATE(2026,10,30),DATE(2026,11,2)+7*INT((H903-2)/3)+CHOOSE(MOD(H903-2,3)+1,0,2,4)))</f>
        <v/>
      </c>
    </row>
    <row r="904" ht="23.85" customHeight="1" s="24">
      <c r="A904" s="43" t="n">
        <v>903</v>
      </c>
      <c r="B904" s="44" t="inlineStr">
        <is>
          <t>Século XVIII: Grand Tour, Iluminismo e Napoleão (1701–1814)</t>
        </is>
      </c>
      <c r="C904" s="45" t="inlineStr">
        <is>
          <t>1768</t>
        </is>
      </c>
      <c r="D904" s="44" t="inlineStr">
        <is>
          <t>Piranesi e as vistas de Roma</t>
        </is>
      </c>
      <c r="E904" s="44" t="inlineStr">
        <is>
          <t>A definir (Roma)</t>
        </is>
      </c>
      <c r="F904" s="45" t="inlineStr">
        <is>
          <t>Pendente</t>
        </is>
      </c>
      <c r="G904" s="45" t="n">
        <v>1768</v>
      </c>
      <c r="H904" s="43" t="n">
        <v>857</v>
      </c>
      <c r="I904" s="46">
        <f>IF(H904=0,DATE(2026,10,29),IF(H904=1,DATE(2026,10,30),DATE(2026,11,2)+7*INT((H904-2)/3)+CHOOSE(MOD(H904-2,3)+1,0,2,4)))</f>
        <v/>
      </c>
    </row>
    <row r="905" ht="23.85" customHeight="1" s="24">
      <c r="A905" s="43" t="n">
        <v>904</v>
      </c>
      <c r="B905" s="44" t="inlineStr">
        <is>
          <t>Século XVIII: Grand Tour, Iluminismo e Napoleão (1701–1814)</t>
        </is>
      </c>
      <c r="C905" s="45" t="inlineStr">
        <is>
          <t>1770</t>
        </is>
      </c>
      <c r="D905" s="44" t="inlineStr">
        <is>
          <t>Mozart na Itália</t>
        </is>
      </c>
      <c r="E905" s="44" t="inlineStr">
        <is>
          <t>Bolonha</t>
        </is>
      </c>
      <c r="F905" s="45" t="inlineStr">
        <is>
          <t>Pendente</t>
        </is>
      </c>
      <c r="G905" s="45" t="n">
        <v>1770</v>
      </c>
      <c r="H905" s="43" t="n">
        <v>858</v>
      </c>
      <c r="I905" s="46">
        <f>IF(H905=0,DATE(2026,10,29),IF(H905=1,DATE(2026,10,30),DATE(2026,11,2)+7*INT((H905-2)/3)+CHOOSE(MOD(H905-2,3)+1,0,2,4)))</f>
        <v/>
      </c>
    </row>
    <row r="906" ht="23.85" customHeight="1" s="24">
      <c r="A906" s="43" t="n">
        <v>905</v>
      </c>
      <c r="B906" s="44" t="inlineStr">
        <is>
          <t>Século XVIII: Grand Tour, Iluminismo e Napoleão (1701–1814)</t>
        </is>
      </c>
      <c r="C906" s="45" t="inlineStr">
        <is>
          <t>1773</t>
        </is>
      </c>
      <c r="D906" s="44" t="inlineStr">
        <is>
          <t>A supressão dos jesuítas</t>
        </is>
      </c>
      <c r="E906" s="44" t="inlineStr">
        <is>
          <t>A definir (Roma)</t>
        </is>
      </c>
      <c r="F906" s="45" t="inlineStr">
        <is>
          <t>Pendente</t>
        </is>
      </c>
      <c r="G906" s="45" t="n">
        <v>1773</v>
      </c>
      <c r="H906" s="43" t="n">
        <v>859</v>
      </c>
      <c r="I906" s="46">
        <f>IF(H906=0,DATE(2026,10,29),IF(H906=1,DATE(2026,10,30),DATE(2026,11,2)+7*INT((H906-2)/3)+CHOOSE(MOD(H906-2,3)+1,0,2,4)))</f>
        <v/>
      </c>
    </row>
    <row r="907" ht="23.85" customHeight="1" s="24">
      <c r="A907" s="43" t="n">
        <v>906</v>
      </c>
      <c r="B907" s="44" t="inlineStr">
        <is>
          <t>Século XVIII: Grand Tour, Iluminismo e Napoleão (1701–1814)</t>
        </is>
      </c>
      <c r="C907" s="45" t="inlineStr">
        <is>
          <t>1775</t>
        </is>
      </c>
      <c r="D907" s="44" t="inlineStr">
        <is>
          <t>Pio VI</t>
        </is>
      </c>
      <c r="E907" s="44" t="inlineStr">
        <is>
          <t>A definir (Roma)</t>
        </is>
      </c>
      <c r="F907" s="45" t="inlineStr">
        <is>
          <t>Pendente</t>
        </is>
      </c>
      <c r="G907" s="45" t="n">
        <v>1775</v>
      </c>
      <c r="H907" s="43" t="n">
        <v>860</v>
      </c>
      <c r="I907" s="46">
        <f>IF(H907=0,DATE(2026,10,29),IF(H907=1,DATE(2026,10,30),DATE(2026,11,2)+7*INT((H907-2)/3)+CHOOSE(MOD(H907-2,3)+1,0,2,4)))</f>
        <v/>
      </c>
    </row>
    <row r="908" ht="23.85" customHeight="1" s="24">
      <c r="A908" s="43" t="n">
        <v>907</v>
      </c>
      <c r="B908" s="44" t="inlineStr">
        <is>
          <t>Século XVIII: Grand Tour, Iluminismo e Napoleão (1701–1814)</t>
        </is>
      </c>
      <c r="C908" s="45" t="inlineStr">
        <is>
          <t>1777</t>
        </is>
      </c>
      <c r="D908" s="44" t="inlineStr">
        <is>
          <t>O Teatro alla Scala</t>
        </is>
      </c>
      <c r="E908" s="44" t="inlineStr">
        <is>
          <t>Teatro alla Scala, Milão</t>
        </is>
      </c>
      <c r="F908" s="45" t="inlineStr">
        <is>
          <t>Pendente</t>
        </is>
      </c>
      <c r="G908" s="45" t="n">
        <v>1777</v>
      </c>
      <c r="H908" s="43" t="n">
        <v>861</v>
      </c>
      <c r="I908" s="46">
        <f>IF(H908=0,DATE(2026,10,29),IF(H908=1,DATE(2026,10,30),DATE(2026,11,2)+7*INT((H908-2)/3)+CHOOSE(MOD(H908-2,3)+1,0,2,4)))</f>
        <v/>
      </c>
    </row>
    <row r="909" ht="23.85" customHeight="1" s="24">
      <c r="A909" s="43" t="n">
        <v>908</v>
      </c>
      <c r="B909" s="44" t="inlineStr">
        <is>
          <t>Século XVIII: Grand Tour, Iluminismo e Napoleão (1701–1814)</t>
        </is>
      </c>
      <c r="C909" s="45" t="inlineStr">
        <is>
          <t>1780</t>
        </is>
      </c>
      <c r="D909" s="44" t="inlineStr">
        <is>
          <t>Goethe em Roma</t>
        </is>
      </c>
      <c r="E909" s="44" t="inlineStr">
        <is>
          <t>Casa de Goethe, Roma</t>
        </is>
      </c>
      <c r="F909" s="45" t="inlineStr">
        <is>
          <t>Pendente</t>
        </is>
      </c>
      <c r="G909" s="45" t="n">
        <v>1780</v>
      </c>
      <c r="H909" s="43" t="n">
        <v>862</v>
      </c>
      <c r="I909" s="46">
        <f>IF(H909=0,DATE(2026,10,29),IF(H909=1,DATE(2026,10,30),DATE(2026,11,2)+7*INT((H909-2)/3)+CHOOSE(MOD(H909-2,3)+1,0,2,4)))</f>
        <v/>
      </c>
    </row>
    <row r="910" ht="23.85" customHeight="1" s="24">
      <c r="A910" s="43" t="n">
        <v>909</v>
      </c>
      <c r="B910" s="44" t="inlineStr">
        <is>
          <t>Século XVIII: Grand Tour, Iluminismo e Napoleão (1701–1814)</t>
        </is>
      </c>
      <c r="C910" s="45" t="inlineStr">
        <is>
          <t>1786</t>
        </is>
      </c>
      <c r="D910" s="44" t="inlineStr">
        <is>
          <t>A viagem de Goethe à Itália</t>
        </is>
      </c>
      <c r="E910" s="44" t="inlineStr">
        <is>
          <t>A definir (Roma)</t>
        </is>
      </c>
      <c r="F910" s="45" t="inlineStr">
        <is>
          <t>Pendente</t>
        </is>
      </c>
      <c r="G910" s="45" t="n">
        <v>1786</v>
      </c>
      <c r="H910" s="43" t="n">
        <v>863</v>
      </c>
      <c r="I910" s="46">
        <f>IF(H910=0,DATE(2026,10,29),IF(H910=1,DATE(2026,10,30),DATE(2026,11,2)+7*INT((H910-2)/3)+CHOOSE(MOD(H910-2,3)+1,0,2,4)))</f>
        <v/>
      </c>
    </row>
    <row r="911" ht="23.85" customHeight="1" s="24">
      <c r="A911" s="43" t="n">
        <v>910</v>
      </c>
      <c r="B911" s="44" t="inlineStr">
        <is>
          <t>Século XVIII: Grand Tour, Iluminismo e Napoleão (1701–1814)</t>
        </is>
      </c>
      <c r="C911" s="45" t="inlineStr">
        <is>
          <t>1789</t>
        </is>
      </c>
      <c r="D911" s="44" t="inlineStr">
        <is>
          <t>A Revolução Francesa e a Itália</t>
        </is>
      </c>
      <c r="E911" s="44" t="inlineStr">
        <is>
          <t>A definir (Roma)</t>
        </is>
      </c>
      <c r="F911" s="45" t="inlineStr">
        <is>
          <t>Pendente</t>
        </is>
      </c>
      <c r="G911" s="45" t="n">
        <v>1789</v>
      </c>
      <c r="H911" s="43" t="n">
        <v>864</v>
      </c>
      <c r="I911" s="46">
        <f>IF(H911=0,DATE(2026,10,29),IF(H911=1,DATE(2026,10,30),DATE(2026,11,2)+7*INT((H911-2)/3)+CHOOSE(MOD(H911-2,3)+1,0,2,4)))</f>
        <v/>
      </c>
    </row>
    <row r="912" ht="23.85" customHeight="1" s="24">
      <c r="A912" s="43" t="n">
        <v>911</v>
      </c>
      <c r="B912" s="44" t="inlineStr">
        <is>
          <t>Século XVIII: Grand Tour, Iluminismo e Napoleão (1701–1814)</t>
        </is>
      </c>
      <c r="C912" s="45" t="inlineStr">
        <is>
          <t>1796</t>
        </is>
      </c>
      <c r="D912" s="44" t="inlineStr">
        <is>
          <t>Napoleão na Itália</t>
        </is>
      </c>
      <c r="E912" s="44" t="inlineStr">
        <is>
          <t>Milão</t>
        </is>
      </c>
      <c r="F912" s="45" t="inlineStr">
        <is>
          <t>Pendente</t>
        </is>
      </c>
      <c r="G912" s="45" t="n">
        <v>1796</v>
      </c>
      <c r="H912" s="43" t="n">
        <v>865</v>
      </c>
      <c r="I912" s="46">
        <f>IF(H912=0,DATE(2026,10,29),IF(H912=1,DATE(2026,10,30),DATE(2026,11,2)+7*INT((H912-2)/3)+CHOOSE(MOD(H912-2,3)+1,0,2,4)))</f>
        <v/>
      </c>
    </row>
    <row r="913" ht="23.85" customHeight="1" s="24">
      <c r="A913" s="43" t="n">
        <v>912</v>
      </c>
      <c r="B913" s="44" t="inlineStr">
        <is>
          <t>Século XVIII: Grand Tour, Iluminismo e Napoleão (1701–1814)</t>
        </is>
      </c>
      <c r="C913" s="45" t="inlineStr">
        <is>
          <t>1797</t>
        </is>
      </c>
      <c r="D913" s="44" t="inlineStr">
        <is>
          <t>A queda da República de Veneza</t>
        </is>
      </c>
      <c r="E913" s="44" t="inlineStr">
        <is>
          <t>Veneza</t>
        </is>
      </c>
      <c r="F913" s="45" t="inlineStr">
        <is>
          <t>Pendente</t>
        </is>
      </c>
      <c r="G913" s="45" t="n">
        <v>1797</v>
      </c>
      <c r="H913" s="43" t="n">
        <v>866</v>
      </c>
      <c r="I913" s="46">
        <f>IF(H913=0,DATE(2026,10,29),IF(H913=1,DATE(2026,10,30),DATE(2026,11,2)+7*INT((H913-2)/3)+CHOOSE(MOD(H913-2,3)+1,0,2,4)))</f>
        <v/>
      </c>
    </row>
    <row r="914" ht="23.85" customHeight="1" s="24">
      <c r="A914" s="43" t="n">
        <v>913</v>
      </c>
      <c r="B914" s="44" t="inlineStr">
        <is>
          <t>Século XVIII: Grand Tour, Iluminismo e Napoleão (1701–1814)</t>
        </is>
      </c>
      <c r="C914" s="45" t="inlineStr">
        <is>
          <t>1798</t>
        </is>
      </c>
      <c r="D914" s="44" t="inlineStr">
        <is>
          <t>A República Romana jacobina</t>
        </is>
      </c>
      <c r="E914" s="44" t="inlineStr">
        <is>
          <t>A definir (Roma)</t>
        </is>
      </c>
      <c r="F914" s="45" t="inlineStr">
        <is>
          <t>Pendente</t>
        </is>
      </c>
      <c r="G914" s="45" t="n">
        <v>1798</v>
      </c>
      <c r="H914" s="43" t="n">
        <v>867</v>
      </c>
      <c r="I914" s="46">
        <f>IF(H914=0,DATE(2026,10,29),IF(H914=1,DATE(2026,10,30),DATE(2026,11,2)+7*INT((H914-2)/3)+CHOOSE(MOD(H914-2,3)+1,0,2,4)))</f>
        <v/>
      </c>
    </row>
    <row r="915" ht="23.85" customHeight="1" s="24">
      <c r="A915" s="43" t="n">
        <v>914</v>
      </c>
      <c r="B915" s="44" t="inlineStr">
        <is>
          <t>Século XVIII: Grand Tour, Iluminismo e Napoleão (1701–1814)</t>
        </is>
      </c>
      <c r="C915" s="45" t="inlineStr">
        <is>
          <t>1799</t>
        </is>
      </c>
      <c r="D915" s="44" t="inlineStr">
        <is>
          <t>A República Napolitana</t>
        </is>
      </c>
      <c r="E915" s="44" t="inlineStr">
        <is>
          <t>Nápoles</t>
        </is>
      </c>
      <c r="F915" s="45" t="inlineStr">
        <is>
          <t>Pendente</t>
        </is>
      </c>
      <c r="G915" s="45" t="n">
        <v>1799</v>
      </c>
      <c r="H915" s="43" t="n">
        <v>868</v>
      </c>
      <c r="I915" s="46">
        <f>IF(H915=0,DATE(2026,10,29),IF(H915=1,DATE(2026,10,30),DATE(2026,11,2)+7*INT((H915-2)/3)+CHOOSE(MOD(H915-2,3)+1,0,2,4)))</f>
        <v/>
      </c>
    </row>
    <row r="916" ht="23.85" customHeight="1" s="24">
      <c r="A916" s="43" t="n">
        <v>915</v>
      </c>
      <c r="B916" s="44" t="inlineStr">
        <is>
          <t>Século XVIII: Grand Tour, Iluminismo e Napoleão (1701–1814)</t>
        </is>
      </c>
      <c r="C916" s="45" t="inlineStr">
        <is>
          <t>1800</t>
        </is>
      </c>
      <c r="D916" s="44" t="inlineStr">
        <is>
          <t>Marengo</t>
        </is>
      </c>
      <c r="E916" s="44" t="inlineStr">
        <is>
          <t>Marengo</t>
        </is>
      </c>
      <c r="F916" s="45" t="inlineStr">
        <is>
          <t>Pendente</t>
        </is>
      </c>
      <c r="G916" s="45" t="n">
        <v>1800</v>
      </c>
      <c r="H916" s="43" t="n">
        <v>869</v>
      </c>
      <c r="I916" s="46">
        <f>IF(H916=0,DATE(2026,10,29),IF(H916=1,DATE(2026,10,30),DATE(2026,11,2)+7*INT((H916-2)/3)+CHOOSE(MOD(H916-2,3)+1,0,2,4)))</f>
        <v/>
      </c>
    </row>
    <row r="917" ht="23.85" customHeight="1" s="24">
      <c r="A917" s="43" t="n">
        <v>916</v>
      </c>
      <c r="B917" s="44" t="inlineStr">
        <is>
          <t>Século XVIII: Grand Tour, Iluminismo e Napoleão (1701–1814)</t>
        </is>
      </c>
      <c r="C917" s="45" t="inlineStr">
        <is>
          <t>1801</t>
        </is>
      </c>
      <c r="D917" s="44" t="inlineStr">
        <is>
          <t>A Concordata de Napoleão</t>
        </is>
      </c>
      <c r="E917" s="44" t="inlineStr">
        <is>
          <t>A definir (Roma)</t>
        </is>
      </c>
      <c r="F917" s="45" t="inlineStr">
        <is>
          <t>Pendente</t>
        </is>
      </c>
      <c r="G917" s="45" t="n">
        <v>1801</v>
      </c>
      <c r="H917" s="43" t="n">
        <v>870</v>
      </c>
      <c r="I917" s="46">
        <f>IF(H917=0,DATE(2026,10,29),IF(H917=1,DATE(2026,10,30),DATE(2026,11,2)+7*INT((H917-2)/3)+CHOOSE(MOD(H917-2,3)+1,0,2,4)))</f>
        <v/>
      </c>
    </row>
    <row r="918" ht="23.85" customHeight="1" s="24">
      <c r="A918" s="43" t="n">
        <v>917</v>
      </c>
      <c r="B918" s="44" t="inlineStr">
        <is>
          <t>Século XVIII: Grand Tour, Iluminismo e Napoleão (1701–1814)</t>
        </is>
      </c>
      <c r="C918" s="45" t="inlineStr">
        <is>
          <t>1804</t>
        </is>
      </c>
      <c r="D918" s="44" t="inlineStr">
        <is>
          <t>A coroação de Napoleão</t>
        </is>
      </c>
      <c r="E918" s="44" t="inlineStr">
        <is>
          <t>Milão</t>
        </is>
      </c>
      <c r="F918" s="45" t="inlineStr">
        <is>
          <t>Pendente</t>
        </is>
      </c>
      <c r="G918" s="45" t="n">
        <v>1804</v>
      </c>
      <c r="H918" s="43" t="n">
        <v>871</v>
      </c>
      <c r="I918" s="46">
        <f>IF(H918=0,DATE(2026,10,29),IF(H918=1,DATE(2026,10,30),DATE(2026,11,2)+7*INT((H918-2)/3)+CHOOSE(MOD(H918-2,3)+1,0,2,4)))</f>
        <v/>
      </c>
    </row>
    <row r="919" ht="23.85" customHeight="1" s="24">
      <c r="A919" s="43" t="n">
        <v>918</v>
      </c>
      <c r="B919" s="44" t="inlineStr">
        <is>
          <t>Século XVIII: Grand Tour, Iluminismo e Napoleão (1701–1814)</t>
        </is>
      </c>
      <c r="C919" s="45" t="inlineStr">
        <is>
          <t>1805</t>
        </is>
      </c>
      <c r="D919" s="44" t="inlineStr">
        <is>
          <t>O Reino da Itália napoleônico</t>
        </is>
      </c>
      <c r="E919" s="44" t="inlineStr">
        <is>
          <t>Milão</t>
        </is>
      </c>
      <c r="F919" s="45" t="inlineStr">
        <is>
          <t>Pendente</t>
        </is>
      </c>
      <c r="G919" s="45" t="n">
        <v>1805</v>
      </c>
      <c r="H919" s="43" t="n">
        <v>872</v>
      </c>
      <c r="I919" s="46">
        <f>IF(H919=0,DATE(2026,10,29),IF(H919=1,DATE(2026,10,30),DATE(2026,11,2)+7*INT((H919-2)/3)+CHOOSE(MOD(H919-2,3)+1,0,2,4)))</f>
        <v/>
      </c>
    </row>
    <row r="920" ht="23.85" customHeight="1" s="24">
      <c r="A920" s="43" t="n">
        <v>919</v>
      </c>
      <c r="B920" s="44" t="inlineStr">
        <is>
          <t>Século XVIII: Grand Tour, Iluminismo e Napoleão (1701–1814)</t>
        </is>
      </c>
      <c r="C920" s="45" t="inlineStr">
        <is>
          <t>1808</t>
        </is>
      </c>
      <c r="D920" s="44" t="inlineStr">
        <is>
          <t>Napoleão ocupa Roma</t>
        </is>
      </c>
      <c r="E920" s="44" t="inlineStr">
        <is>
          <t>A definir (Roma)</t>
        </is>
      </c>
      <c r="F920" s="45" t="inlineStr">
        <is>
          <t>Pendente</t>
        </is>
      </c>
      <c r="G920" s="45" t="n">
        <v>1808</v>
      </c>
      <c r="H920" s="43" t="n">
        <v>873</v>
      </c>
      <c r="I920" s="46">
        <f>IF(H920=0,DATE(2026,10,29),IF(H920=1,DATE(2026,10,30),DATE(2026,11,2)+7*INT((H920-2)/3)+CHOOSE(MOD(H920-2,3)+1,0,2,4)))</f>
        <v/>
      </c>
    </row>
    <row r="921" ht="23.85" customHeight="1" s="24">
      <c r="A921" s="43" t="n">
        <v>920</v>
      </c>
      <c r="B921" s="44" t="inlineStr">
        <is>
          <t>Século XVIII: Grand Tour, Iluminismo e Napoleão (1701–1814)</t>
        </is>
      </c>
      <c r="C921" s="45" t="inlineStr">
        <is>
          <t>1809</t>
        </is>
      </c>
      <c r="D921" s="44" t="inlineStr">
        <is>
          <t>O papa Pio VII é preso</t>
        </is>
      </c>
      <c r="E921" s="44" t="inlineStr">
        <is>
          <t>A definir (Roma)</t>
        </is>
      </c>
      <c r="F921" s="45" t="inlineStr">
        <is>
          <t>Pendente</t>
        </is>
      </c>
      <c r="G921" s="45" t="n">
        <v>1809</v>
      </c>
      <c r="H921" s="43" t="n">
        <v>874</v>
      </c>
      <c r="I921" s="46">
        <f>IF(H921=0,DATE(2026,10,29),IF(H921=1,DATE(2026,10,30),DATE(2026,11,2)+7*INT((H921-2)/3)+CHOOSE(MOD(H921-2,3)+1,0,2,4)))</f>
        <v/>
      </c>
    </row>
    <row r="922" ht="23.85" customHeight="1" s="24">
      <c r="A922" s="43" t="n">
        <v>921</v>
      </c>
      <c r="B922" s="44" t="inlineStr">
        <is>
          <t>Século XVIII: Grand Tour, Iluminismo e Napoleão (1701–1814)</t>
        </is>
      </c>
      <c r="C922" s="45" t="inlineStr">
        <is>
          <t>1811</t>
        </is>
      </c>
      <c r="D922" s="44" t="inlineStr">
        <is>
          <t>O Rei de Roma</t>
        </is>
      </c>
      <c r="E922" s="44" t="inlineStr">
        <is>
          <t>A definir (Roma)</t>
        </is>
      </c>
      <c r="F922" s="45" t="inlineStr">
        <is>
          <t>Pendente</t>
        </is>
      </c>
      <c r="G922" s="45" t="n">
        <v>1811</v>
      </c>
      <c r="H922" s="43" t="n">
        <v>875</v>
      </c>
      <c r="I922" s="46">
        <f>IF(H922=0,DATE(2026,10,29),IF(H922=1,DATE(2026,10,30),DATE(2026,11,2)+7*INT((H922-2)/3)+CHOOSE(MOD(H922-2,3)+1,0,2,4)))</f>
        <v/>
      </c>
    </row>
    <row r="923" ht="23.85" customHeight="1" s="24">
      <c r="A923" s="43" t="n">
        <v>922</v>
      </c>
      <c r="B923" s="44" t="inlineStr">
        <is>
          <t>Século XVIII: Grand Tour, Iluminismo e Napoleão (1701–1814)</t>
        </is>
      </c>
      <c r="C923" s="45" t="inlineStr">
        <is>
          <t>1814</t>
        </is>
      </c>
      <c r="D923" s="44" t="inlineStr">
        <is>
          <t>A queda de Napoleão</t>
        </is>
      </c>
      <c r="E923" s="44" t="inlineStr">
        <is>
          <t>A definir (Roma)</t>
        </is>
      </c>
      <c r="F923" s="45" t="inlineStr">
        <is>
          <t>Pendente</t>
        </is>
      </c>
      <c r="G923" s="45" t="n">
        <v>1814</v>
      </c>
      <c r="H923" s="43" t="n">
        <v>876</v>
      </c>
      <c r="I923" s="46">
        <f>IF(H923=0,DATE(2026,10,29),IF(H923=1,DATE(2026,10,30),DATE(2026,11,2)+7*INT((H923-2)/3)+CHOOSE(MOD(H923-2,3)+1,0,2,4)))</f>
        <v/>
      </c>
    </row>
    <row r="924" ht="15" customHeight="1" s="24">
      <c r="A924" s="43" t="n">
        <v>923</v>
      </c>
      <c r="B924" s="44" t="inlineStr">
        <is>
          <t>Risorgimento e unificação (1815–1870)</t>
        </is>
      </c>
      <c r="C924" s="45" t="inlineStr">
        <is>
          <t>1815</t>
        </is>
      </c>
      <c r="D924" s="44" t="inlineStr">
        <is>
          <t>O Congresso de Viena e a Itália dividida</t>
        </is>
      </c>
      <c r="E924" s="44" t="inlineStr">
        <is>
          <t>A definir (Roma)</t>
        </is>
      </c>
      <c r="F924" s="45" t="inlineStr">
        <is>
          <t>Pendente</t>
        </is>
      </c>
      <c r="G924" s="45" t="n">
        <v>1815</v>
      </c>
      <c r="H924" s="43" t="n">
        <v>877</v>
      </c>
      <c r="I924" s="46">
        <f>IF(H924=0,DATE(2026,10,29),IF(H924=1,DATE(2026,10,30),DATE(2026,11,2)+7*INT((H924-2)/3)+CHOOSE(MOD(H924-2,3)+1,0,2,4)))</f>
        <v/>
      </c>
    </row>
    <row r="925" ht="15" customHeight="1" s="24">
      <c r="A925" s="43" t="n">
        <v>924</v>
      </c>
      <c r="B925" s="44" t="inlineStr">
        <is>
          <t>Risorgimento e unificação (1815–1870)</t>
        </is>
      </c>
      <c r="C925" s="45" t="inlineStr">
        <is>
          <t>1820</t>
        </is>
      </c>
      <c r="D925" s="44" t="inlineStr">
        <is>
          <t>Os carbonários e as revoltas de 1820</t>
        </is>
      </c>
      <c r="E925" s="44" t="inlineStr">
        <is>
          <t>Nápoles</t>
        </is>
      </c>
      <c r="F925" s="45" t="inlineStr">
        <is>
          <t>Pendente</t>
        </is>
      </c>
      <c r="G925" s="45" t="n">
        <v>1820</v>
      </c>
      <c r="H925" s="43" t="n">
        <v>878</v>
      </c>
      <c r="I925" s="46">
        <f>IF(H925=0,DATE(2026,10,29),IF(H925=1,DATE(2026,10,30),DATE(2026,11,2)+7*INT((H925-2)/3)+CHOOSE(MOD(H925-2,3)+1,0,2,4)))</f>
        <v/>
      </c>
    </row>
    <row r="926" ht="15" customHeight="1" s="24">
      <c r="A926" s="43" t="n">
        <v>925</v>
      </c>
      <c r="B926" s="44" t="inlineStr">
        <is>
          <t>Risorgimento e unificação (1815–1870)</t>
        </is>
      </c>
      <c r="C926" s="45" t="inlineStr">
        <is>
          <t>1821</t>
        </is>
      </c>
      <c r="D926" s="44" t="inlineStr">
        <is>
          <t>As revoltas no Piemonte</t>
        </is>
      </c>
      <c r="E926" s="44" t="inlineStr">
        <is>
          <t>Turim</t>
        </is>
      </c>
      <c r="F926" s="45" t="inlineStr">
        <is>
          <t>Pendente</t>
        </is>
      </c>
      <c r="G926" s="45" t="n">
        <v>1821</v>
      </c>
      <c r="H926" s="43" t="n">
        <v>879</v>
      </c>
      <c r="I926" s="46">
        <f>IF(H926=0,DATE(2026,10,29),IF(H926=1,DATE(2026,10,30),DATE(2026,11,2)+7*INT((H926-2)/3)+CHOOSE(MOD(H926-2,3)+1,0,2,4)))</f>
        <v/>
      </c>
    </row>
    <row r="927" ht="15" customHeight="1" s="24">
      <c r="A927" s="43" t="n">
        <v>926</v>
      </c>
      <c r="B927" s="44" t="inlineStr">
        <is>
          <t>Risorgimento e unificação (1815–1870)</t>
        </is>
      </c>
      <c r="C927" s="45" t="inlineStr">
        <is>
          <t>1831</t>
        </is>
      </c>
      <c r="D927" s="44" t="inlineStr">
        <is>
          <t>Mazzini e a Jovem Itália</t>
        </is>
      </c>
      <c r="E927" s="44" t="inlineStr">
        <is>
          <t>Gênova</t>
        </is>
      </c>
      <c r="F927" s="45" t="inlineStr">
        <is>
          <t>Pendente</t>
        </is>
      </c>
      <c r="G927" s="45" t="n">
        <v>1831</v>
      </c>
      <c r="H927" s="43" t="n">
        <v>880</v>
      </c>
      <c r="I927" s="46">
        <f>IF(H927=0,DATE(2026,10,29),IF(H927=1,DATE(2026,10,30),DATE(2026,11,2)+7*INT((H927-2)/3)+CHOOSE(MOD(H927-2,3)+1,0,2,4)))</f>
        <v/>
      </c>
    </row>
    <row r="928" ht="15" customHeight="1" s="24">
      <c r="A928" s="43" t="n">
        <v>927</v>
      </c>
      <c r="B928" s="44" t="inlineStr">
        <is>
          <t>Risorgimento e unificação (1815–1870)</t>
        </is>
      </c>
      <c r="C928" s="45" t="inlineStr">
        <is>
          <t>1831</t>
        </is>
      </c>
      <c r="D928" s="44" t="inlineStr">
        <is>
          <t>A Revolução em Bolonha</t>
        </is>
      </c>
      <c r="E928" s="44" t="inlineStr">
        <is>
          <t>Bolonha</t>
        </is>
      </c>
      <c r="F928" s="45" t="inlineStr">
        <is>
          <t>Pendente</t>
        </is>
      </c>
      <c r="G928" s="45" t="n">
        <v>1831</v>
      </c>
      <c r="H928" s="43" t="n">
        <v>881</v>
      </c>
      <c r="I928" s="46">
        <f>IF(H928=0,DATE(2026,10,29),IF(H928=1,DATE(2026,10,30),DATE(2026,11,2)+7*INT((H928-2)/3)+CHOOSE(MOD(H928-2,3)+1,0,2,4)))</f>
        <v/>
      </c>
    </row>
    <row r="929" ht="15" customHeight="1" s="24">
      <c r="A929" s="43" t="n">
        <v>928</v>
      </c>
      <c r="B929" s="44" t="inlineStr">
        <is>
          <t>Risorgimento e unificação (1815–1870)</t>
        </is>
      </c>
      <c r="C929" s="45" t="inlineStr">
        <is>
          <t>1832</t>
        </is>
      </c>
      <c r="D929" s="44" t="inlineStr">
        <is>
          <t>Gregório XVI e o papado conservador</t>
        </is>
      </c>
      <c r="E929" s="44" t="inlineStr">
        <is>
          <t>A definir (Roma)</t>
        </is>
      </c>
      <c r="F929" s="45" t="inlineStr">
        <is>
          <t>Pendente</t>
        </is>
      </c>
      <c r="G929" s="45" t="n">
        <v>1832</v>
      </c>
      <c r="H929" s="43" t="n">
        <v>882</v>
      </c>
      <c r="I929" s="46">
        <f>IF(H929=0,DATE(2026,10,29),IF(H929=1,DATE(2026,10,30),DATE(2026,11,2)+7*INT((H929-2)/3)+CHOOSE(MOD(H929-2,3)+1,0,2,4)))</f>
        <v/>
      </c>
    </row>
    <row r="930" ht="15" customHeight="1" s="24">
      <c r="A930" s="43" t="n">
        <v>929</v>
      </c>
      <c r="B930" s="44" t="inlineStr">
        <is>
          <t>Risorgimento e unificação (1815–1870)</t>
        </is>
      </c>
      <c r="C930" s="45" t="inlineStr">
        <is>
          <t>1835</t>
        </is>
      </c>
      <c r="D930" s="44" t="inlineStr">
        <is>
          <t>O Teatro La Fenice</t>
        </is>
      </c>
      <c r="E930" s="44" t="inlineStr">
        <is>
          <t>Teatro La Fenice, Veneza</t>
        </is>
      </c>
      <c r="F930" s="45" t="inlineStr">
        <is>
          <t>Pendente</t>
        </is>
      </c>
      <c r="G930" s="45" t="n">
        <v>1835</v>
      </c>
      <c r="H930" s="43" t="n">
        <v>883</v>
      </c>
      <c r="I930" s="46">
        <f>IF(H930=0,DATE(2026,10,29),IF(H930=1,DATE(2026,10,30),DATE(2026,11,2)+7*INT((H930-2)/3)+CHOOSE(MOD(H930-2,3)+1,0,2,4)))</f>
        <v/>
      </c>
    </row>
    <row r="931" ht="15" customHeight="1" s="24">
      <c r="A931" s="43" t="n">
        <v>930</v>
      </c>
      <c r="B931" s="44" t="inlineStr">
        <is>
          <t>Risorgimento e unificação (1815–1870)</t>
        </is>
      </c>
      <c r="C931" s="45" t="inlineStr">
        <is>
          <t>1839</t>
        </is>
      </c>
      <c r="D931" s="44" t="inlineStr">
        <is>
          <t>A primeira ferrovia italiana</t>
        </is>
      </c>
      <c r="E931" s="44" t="inlineStr">
        <is>
          <t>Nápoles</t>
        </is>
      </c>
      <c r="F931" s="45" t="inlineStr">
        <is>
          <t>Pendente</t>
        </is>
      </c>
      <c r="G931" s="45" t="n">
        <v>1839</v>
      </c>
      <c r="H931" s="43" t="n">
        <v>884</v>
      </c>
      <c r="I931" s="46">
        <f>IF(H931=0,DATE(2026,10,29),IF(H931=1,DATE(2026,10,30),DATE(2026,11,2)+7*INT((H931-2)/3)+CHOOSE(MOD(H931-2,3)+1,0,2,4)))</f>
        <v/>
      </c>
    </row>
    <row r="932" ht="15" customHeight="1" s="24">
      <c r="A932" s="43" t="n">
        <v>931</v>
      </c>
      <c r="B932" s="44" t="inlineStr">
        <is>
          <t>Risorgimento e unificação (1815–1870)</t>
        </is>
      </c>
      <c r="C932" s="45" t="inlineStr">
        <is>
          <t>1842</t>
        </is>
      </c>
      <c r="D932" s="44" t="inlineStr">
        <is>
          <t>Verdi e Nabucco</t>
        </is>
      </c>
      <c r="E932" s="44" t="inlineStr">
        <is>
          <t>Teatro alla Scala, Milão</t>
        </is>
      </c>
      <c r="F932" s="45" t="inlineStr">
        <is>
          <t>Pendente</t>
        </is>
      </c>
      <c r="G932" s="45" t="n">
        <v>1842</v>
      </c>
      <c r="H932" s="43" t="n">
        <v>885</v>
      </c>
      <c r="I932" s="46">
        <f>IF(H932=0,DATE(2026,10,29),IF(H932=1,DATE(2026,10,30),DATE(2026,11,2)+7*INT((H932-2)/3)+CHOOSE(MOD(H932-2,3)+1,0,2,4)))</f>
        <v/>
      </c>
    </row>
    <row r="933" ht="15" customHeight="1" s="24">
      <c r="A933" s="43" t="n">
        <v>932</v>
      </c>
      <c r="B933" s="44" t="inlineStr">
        <is>
          <t>Risorgimento e unificação (1815–1870)</t>
        </is>
      </c>
      <c r="C933" s="45" t="inlineStr">
        <is>
          <t>1846</t>
        </is>
      </c>
      <c r="D933" s="44" t="inlineStr">
        <is>
          <t>Pio IX, o papa liberal</t>
        </is>
      </c>
      <c r="E933" s="44" t="inlineStr">
        <is>
          <t>A definir (Roma)</t>
        </is>
      </c>
      <c r="F933" s="45" t="inlineStr">
        <is>
          <t>Pendente</t>
        </is>
      </c>
      <c r="G933" s="45" t="n">
        <v>1846</v>
      </c>
      <c r="H933" s="43" t="n">
        <v>886</v>
      </c>
      <c r="I933" s="46">
        <f>IF(H933=0,DATE(2026,10,29),IF(H933=1,DATE(2026,10,30),DATE(2026,11,2)+7*INT((H933-2)/3)+CHOOSE(MOD(H933-2,3)+1,0,2,4)))</f>
        <v/>
      </c>
    </row>
    <row r="934" ht="15" customHeight="1" s="24">
      <c r="A934" s="43" t="n">
        <v>933</v>
      </c>
      <c r="B934" s="44" t="inlineStr">
        <is>
          <t>Risorgimento e unificação (1815–1870)</t>
        </is>
      </c>
      <c r="C934" s="45" t="inlineStr">
        <is>
          <t>1848</t>
        </is>
      </c>
      <c r="D934" s="44" t="inlineStr">
        <is>
          <t>A Primavera dos Povos na Itália</t>
        </is>
      </c>
      <c r="E934" s="44" t="inlineStr">
        <is>
          <t>Milão</t>
        </is>
      </c>
      <c r="F934" s="45" t="inlineStr">
        <is>
          <t>Pendente</t>
        </is>
      </c>
      <c r="G934" s="45" t="n">
        <v>1848</v>
      </c>
      <c r="H934" s="43" t="n">
        <v>887</v>
      </c>
      <c r="I934" s="46">
        <f>IF(H934=0,DATE(2026,10,29),IF(H934=1,DATE(2026,10,30),DATE(2026,11,2)+7*INT((H934-2)/3)+CHOOSE(MOD(H934-2,3)+1,0,2,4)))</f>
        <v/>
      </c>
    </row>
    <row r="935" ht="15" customHeight="1" s="24">
      <c r="A935" s="43" t="n">
        <v>934</v>
      </c>
      <c r="B935" s="44" t="inlineStr">
        <is>
          <t>Risorgimento e unificação (1815–1870)</t>
        </is>
      </c>
      <c r="C935" s="45" t="inlineStr">
        <is>
          <t>1848</t>
        </is>
      </c>
      <c r="D935" s="44" t="inlineStr">
        <is>
          <t>As Cinco Jornadas de Milão</t>
        </is>
      </c>
      <c r="E935" s="44" t="inlineStr">
        <is>
          <t>Milão</t>
        </is>
      </c>
      <c r="F935" s="45" t="inlineStr">
        <is>
          <t>Pendente</t>
        </is>
      </c>
      <c r="G935" s="45" t="n">
        <v>1848</v>
      </c>
      <c r="H935" s="43" t="n">
        <v>888</v>
      </c>
      <c r="I935" s="46">
        <f>IF(H935=0,DATE(2026,10,29),IF(H935=1,DATE(2026,10,30),DATE(2026,11,2)+7*INT((H935-2)/3)+CHOOSE(MOD(H935-2,3)+1,0,2,4)))</f>
        <v/>
      </c>
    </row>
    <row r="936" ht="15" customHeight="1" s="24">
      <c r="A936" s="43" t="n">
        <v>935</v>
      </c>
      <c r="B936" s="44" t="inlineStr">
        <is>
          <t>Risorgimento e unificação (1815–1870)</t>
        </is>
      </c>
      <c r="C936" s="45" t="inlineStr">
        <is>
          <t>1848</t>
        </is>
      </c>
      <c r="D936" s="44" t="inlineStr">
        <is>
          <t>Carlos Alberto e a guerra contra a Áustria</t>
        </is>
      </c>
      <c r="E936" s="44" t="inlineStr">
        <is>
          <t>Turim</t>
        </is>
      </c>
      <c r="F936" s="45" t="inlineStr">
        <is>
          <t>Pendente</t>
        </is>
      </c>
      <c r="G936" s="45" t="n">
        <v>1848</v>
      </c>
      <c r="H936" s="43" t="n">
        <v>889</v>
      </c>
      <c r="I936" s="46">
        <f>IF(H936=0,DATE(2026,10,29),IF(H936=1,DATE(2026,10,30),DATE(2026,11,2)+7*INT((H936-2)/3)+CHOOSE(MOD(H936-2,3)+1,0,2,4)))</f>
        <v/>
      </c>
    </row>
    <row r="937" ht="15" customHeight="1" s="24">
      <c r="A937" s="43" t="n">
        <v>936</v>
      </c>
      <c r="B937" s="44" t="inlineStr">
        <is>
          <t>Risorgimento e unificação (1815–1870)</t>
        </is>
      </c>
      <c r="C937" s="45" t="inlineStr">
        <is>
          <t>1849</t>
        </is>
      </c>
      <c r="D937" s="44" t="inlineStr">
        <is>
          <t>A República Romana de Mazzini</t>
        </is>
      </c>
      <c r="E937" s="44" t="inlineStr">
        <is>
          <t>A definir (Roma)</t>
        </is>
      </c>
      <c r="F937" s="45" t="inlineStr">
        <is>
          <t>Pendente</t>
        </is>
      </c>
      <c r="G937" s="45" t="n">
        <v>1849</v>
      </c>
      <c r="H937" s="43" t="n">
        <v>890</v>
      </c>
      <c r="I937" s="46">
        <f>IF(H937=0,DATE(2026,10,29),IF(H937=1,DATE(2026,10,30),DATE(2026,11,2)+7*INT((H937-2)/3)+CHOOSE(MOD(H937-2,3)+1,0,2,4)))</f>
        <v/>
      </c>
    </row>
    <row r="938" ht="15" customHeight="1" s="24">
      <c r="A938" s="43" t="n">
        <v>937</v>
      </c>
      <c r="B938" s="44" t="inlineStr">
        <is>
          <t>Risorgimento e unificação (1815–1870)</t>
        </is>
      </c>
      <c r="C938" s="45" t="inlineStr">
        <is>
          <t>1849</t>
        </is>
      </c>
      <c r="D938" s="44" t="inlineStr">
        <is>
          <t>Garibaldi defende Roma</t>
        </is>
      </c>
      <c r="E938" s="44" t="inlineStr">
        <is>
          <t>Janículo, Roma</t>
        </is>
      </c>
      <c r="F938" s="45" t="inlineStr">
        <is>
          <t>Pendente</t>
        </is>
      </c>
      <c r="G938" s="45" t="n">
        <v>1849</v>
      </c>
      <c r="H938" s="43" t="n">
        <v>891</v>
      </c>
      <c r="I938" s="46">
        <f>IF(H938=0,DATE(2026,10,29),IF(H938=1,DATE(2026,10,30),DATE(2026,11,2)+7*INT((H938-2)/3)+CHOOSE(MOD(H938-2,3)+1,0,2,4)))</f>
        <v/>
      </c>
    </row>
    <row r="939" ht="15" customHeight="1" s="24">
      <c r="A939" s="43" t="n">
        <v>938</v>
      </c>
      <c r="B939" s="44" t="inlineStr">
        <is>
          <t>Risorgimento e unificação (1815–1870)</t>
        </is>
      </c>
      <c r="C939" s="45" t="inlineStr">
        <is>
          <t>1849</t>
        </is>
      </c>
      <c r="D939" s="44" t="inlineStr">
        <is>
          <t>A queda da República Romana</t>
        </is>
      </c>
      <c r="E939" s="44" t="inlineStr">
        <is>
          <t>A definir (Roma)</t>
        </is>
      </c>
      <c r="F939" s="45" t="inlineStr">
        <is>
          <t>Pendente</t>
        </is>
      </c>
      <c r="G939" s="45" t="n">
        <v>1849</v>
      </c>
      <c r="H939" s="43" t="n">
        <v>892</v>
      </c>
      <c r="I939" s="46">
        <f>IF(H939=0,DATE(2026,10,29),IF(H939=1,DATE(2026,10,30),DATE(2026,11,2)+7*INT((H939-2)/3)+CHOOSE(MOD(H939-2,3)+1,0,2,4)))</f>
        <v/>
      </c>
    </row>
    <row r="940" ht="15" customHeight="1" s="24">
      <c r="A940" s="43" t="n">
        <v>939</v>
      </c>
      <c r="B940" s="44" t="inlineStr">
        <is>
          <t>Risorgimento e unificação (1815–1870)</t>
        </is>
      </c>
      <c r="C940" s="45" t="inlineStr">
        <is>
          <t>1850</t>
        </is>
      </c>
      <c r="D940" s="44" t="inlineStr">
        <is>
          <t>Cavour e o Piemonte</t>
        </is>
      </c>
      <c r="E940" s="44" t="inlineStr">
        <is>
          <t>Turim</t>
        </is>
      </c>
      <c r="F940" s="45" t="inlineStr">
        <is>
          <t>Pendente</t>
        </is>
      </c>
      <c r="G940" s="45" t="n">
        <v>1850</v>
      </c>
      <c r="H940" s="43" t="n">
        <v>893</v>
      </c>
      <c r="I940" s="46">
        <f>IF(H940=0,DATE(2026,10,29),IF(H940=1,DATE(2026,10,30),DATE(2026,11,2)+7*INT((H940-2)/3)+CHOOSE(MOD(H940-2,3)+1,0,2,4)))</f>
        <v/>
      </c>
    </row>
    <row r="941" ht="15" customHeight="1" s="24">
      <c r="A941" s="43" t="n">
        <v>940</v>
      </c>
      <c r="B941" s="44" t="inlineStr">
        <is>
          <t>Risorgimento e unificação (1815–1870)</t>
        </is>
      </c>
      <c r="C941" s="45" t="inlineStr">
        <is>
          <t>1852</t>
        </is>
      </c>
      <c r="D941" s="44" t="inlineStr">
        <is>
          <t>Cavour é primeiro-ministro</t>
        </is>
      </c>
      <c r="E941" s="44" t="inlineStr">
        <is>
          <t>Palácio Carignano, Turim</t>
        </is>
      </c>
      <c r="F941" s="45" t="inlineStr">
        <is>
          <t>Pendente</t>
        </is>
      </c>
      <c r="G941" s="45" t="n">
        <v>1852</v>
      </c>
      <c r="H941" s="43" t="n">
        <v>894</v>
      </c>
      <c r="I941" s="46">
        <f>IF(H941=0,DATE(2026,10,29),IF(H941=1,DATE(2026,10,30),DATE(2026,11,2)+7*INT((H941-2)/3)+CHOOSE(MOD(H941-2,3)+1,0,2,4)))</f>
        <v/>
      </c>
    </row>
    <row r="942" ht="15" customHeight="1" s="24">
      <c r="A942" s="43" t="n">
        <v>941</v>
      </c>
      <c r="B942" s="44" t="inlineStr">
        <is>
          <t>Risorgimento e unificação (1815–1870)</t>
        </is>
      </c>
      <c r="C942" s="45" t="inlineStr">
        <is>
          <t>1853</t>
        </is>
      </c>
      <c r="D942" s="44" t="inlineStr">
        <is>
          <t>La Traviata</t>
        </is>
      </c>
      <c r="E942" s="44" t="inlineStr">
        <is>
          <t>Veneza</t>
        </is>
      </c>
      <c r="F942" s="45" t="inlineStr">
        <is>
          <t>Pendente</t>
        </is>
      </c>
      <c r="G942" s="45" t="n">
        <v>1853</v>
      </c>
      <c r="H942" s="43" t="n">
        <v>895</v>
      </c>
      <c r="I942" s="46">
        <f>IF(H942=0,DATE(2026,10,29),IF(H942=1,DATE(2026,10,30),DATE(2026,11,2)+7*INT((H942-2)/3)+CHOOSE(MOD(H942-2,3)+1,0,2,4)))</f>
        <v/>
      </c>
    </row>
    <row r="943" ht="15" customHeight="1" s="24">
      <c r="A943" s="43" t="n">
        <v>942</v>
      </c>
      <c r="B943" s="44" t="inlineStr">
        <is>
          <t>Risorgimento e unificação (1815–1870)</t>
        </is>
      </c>
      <c r="C943" s="45" t="inlineStr">
        <is>
          <t>1855</t>
        </is>
      </c>
      <c r="D943" s="44" t="inlineStr">
        <is>
          <t>O Piemonte na Guerra da Crimeia</t>
        </is>
      </c>
      <c r="E943" s="44" t="inlineStr">
        <is>
          <t>Turim</t>
        </is>
      </c>
      <c r="F943" s="45" t="inlineStr">
        <is>
          <t>Pendente</t>
        </is>
      </c>
      <c r="G943" s="45" t="n">
        <v>1855</v>
      </c>
      <c r="H943" s="43" t="n">
        <v>896</v>
      </c>
      <c r="I943" s="46">
        <f>IF(H943=0,DATE(2026,10,29),IF(H943=1,DATE(2026,10,30),DATE(2026,11,2)+7*INT((H943-2)/3)+CHOOSE(MOD(H943-2,3)+1,0,2,4)))</f>
        <v/>
      </c>
    </row>
    <row r="944" ht="15" customHeight="1" s="24">
      <c r="A944" s="43" t="n">
        <v>943</v>
      </c>
      <c r="B944" s="44" t="inlineStr">
        <is>
          <t>Risorgimento e unificação (1815–1870)</t>
        </is>
      </c>
      <c r="C944" s="45" t="inlineStr">
        <is>
          <t>1856</t>
        </is>
      </c>
      <c r="D944" s="44" t="inlineStr">
        <is>
          <t>A Condessa de Castiglione</t>
        </is>
      </c>
      <c r="E944" s="44" t="inlineStr">
        <is>
          <t>Paris</t>
        </is>
      </c>
      <c r="F944" s="45" t="inlineStr">
        <is>
          <t>Pendente</t>
        </is>
      </c>
      <c r="G944" s="45" t="n">
        <v>1856</v>
      </c>
      <c r="H944" s="43" t="n">
        <v>897</v>
      </c>
      <c r="I944" s="46">
        <f>IF(H944=0,DATE(2026,10,29),IF(H944=1,DATE(2026,10,30),DATE(2026,11,2)+7*INT((H944-2)/3)+CHOOSE(MOD(H944-2,3)+1,0,2,4)))</f>
        <v/>
      </c>
    </row>
    <row r="945" ht="15" customHeight="1" s="24">
      <c r="A945" s="43" t="n">
        <v>944</v>
      </c>
      <c r="B945" s="44" t="inlineStr">
        <is>
          <t>Risorgimento e unificação (1815–1870)</t>
        </is>
      </c>
      <c r="C945" s="45" t="inlineStr">
        <is>
          <t>1858</t>
        </is>
      </c>
      <c r="D945" s="44" t="inlineStr">
        <is>
          <t>O acordo de Plombières</t>
        </is>
      </c>
      <c r="E945" s="44" t="inlineStr">
        <is>
          <t>Plombières</t>
        </is>
      </c>
      <c r="F945" s="45" t="inlineStr">
        <is>
          <t>Pendente</t>
        </is>
      </c>
      <c r="G945" s="45" t="n">
        <v>1858</v>
      </c>
      <c r="H945" s="43" t="n">
        <v>898</v>
      </c>
      <c r="I945" s="46">
        <f>IF(H945=0,DATE(2026,10,29),IF(H945=1,DATE(2026,10,30),DATE(2026,11,2)+7*INT((H945-2)/3)+CHOOSE(MOD(H945-2,3)+1,0,2,4)))</f>
        <v/>
      </c>
    </row>
    <row r="946" ht="15" customHeight="1" s="24">
      <c r="A946" s="43" t="n">
        <v>945</v>
      </c>
      <c r="B946" s="44" t="inlineStr">
        <is>
          <t>Risorgimento e unificação (1815–1870)</t>
        </is>
      </c>
      <c r="C946" s="45" t="inlineStr">
        <is>
          <t>1859</t>
        </is>
      </c>
      <c r="D946" s="44" t="inlineStr">
        <is>
          <t>A Segunda Guerra de Independência</t>
        </is>
      </c>
      <c r="E946" s="44" t="inlineStr">
        <is>
          <t>Milão</t>
        </is>
      </c>
      <c r="F946" s="45" t="inlineStr">
        <is>
          <t>Pendente</t>
        </is>
      </c>
      <c r="G946" s="45" t="n">
        <v>1859</v>
      </c>
      <c r="H946" s="43" t="n">
        <v>899</v>
      </c>
      <c r="I946" s="46">
        <f>IF(H946=0,DATE(2026,10,29),IF(H946=1,DATE(2026,10,30),DATE(2026,11,2)+7*INT((H946-2)/3)+CHOOSE(MOD(H946-2,3)+1,0,2,4)))</f>
        <v/>
      </c>
    </row>
    <row r="947" ht="15" customHeight="1" s="24">
      <c r="A947" s="43" t="n">
        <v>946</v>
      </c>
      <c r="B947" s="44" t="inlineStr">
        <is>
          <t>Risorgimento e unificação (1815–1870)</t>
        </is>
      </c>
      <c r="C947" s="45" t="inlineStr">
        <is>
          <t>1859</t>
        </is>
      </c>
      <c r="D947" s="44" t="inlineStr">
        <is>
          <t>Solferino e Magenta</t>
        </is>
      </c>
      <c r="E947" s="44" t="inlineStr">
        <is>
          <t>Solferino</t>
        </is>
      </c>
      <c r="F947" s="45" t="inlineStr">
        <is>
          <t>Pendente</t>
        </is>
      </c>
      <c r="G947" s="45" t="n">
        <v>1859</v>
      </c>
      <c r="H947" s="43" t="n">
        <v>900</v>
      </c>
      <c r="I947" s="46">
        <f>IF(H947=0,DATE(2026,10,29),IF(H947=1,DATE(2026,10,30),DATE(2026,11,2)+7*INT((H947-2)/3)+CHOOSE(MOD(H947-2,3)+1,0,2,4)))</f>
        <v/>
      </c>
    </row>
    <row r="948" ht="15" customHeight="1" s="24">
      <c r="A948" s="43" t="n">
        <v>947</v>
      </c>
      <c r="B948" s="44" t="inlineStr">
        <is>
          <t>Risorgimento e unificação (1815–1870)</t>
        </is>
      </c>
      <c r="C948" s="45" t="inlineStr">
        <is>
          <t>1860</t>
        </is>
      </c>
      <c r="D948" s="44" t="inlineStr">
        <is>
          <t>A Expedição dos Mil</t>
        </is>
      </c>
      <c r="E948" s="44" t="inlineStr">
        <is>
          <t>Gênova</t>
        </is>
      </c>
      <c r="F948" s="45" t="inlineStr">
        <is>
          <t>Pendente</t>
        </is>
      </c>
      <c r="G948" s="45" t="n">
        <v>1860</v>
      </c>
      <c r="H948" s="43" t="n">
        <v>901</v>
      </c>
      <c r="I948" s="46">
        <f>IF(H948=0,DATE(2026,10,29),IF(H948=1,DATE(2026,10,30),DATE(2026,11,2)+7*INT((H948-2)/3)+CHOOSE(MOD(H948-2,3)+1,0,2,4)))</f>
        <v/>
      </c>
    </row>
    <row r="949" ht="15" customHeight="1" s="24">
      <c r="A949" s="43" t="n">
        <v>948</v>
      </c>
      <c r="B949" s="44" t="inlineStr">
        <is>
          <t>Risorgimento e unificação (1815–1870)</t>
        </is>
      </c>
      <c r="C949" s="45" t="inlineStr">
        <is>
          <t>1860</t>
        </is>
      </c>
      <c r="D949" s="44" t="inlineStr">
        <is>
          <t>Garibaldi em Palermo</t>
        </is>
      </c>
      <c r="E949" s="44" t="inlineStr">
        <is>
          <t>Palermo</t>
        </is>
      </c>
      <c r="F949" s="45" t="inlineStr">
        <is>
          <t>Pendente</t>
        </is>
      </c>
      <c r="G949" s="45" t="n">
        <v>1860</v>
      </c>
      <c r="H949" s="43" t="n">
        <v>902</v>
      </c>
      <c r="I949" s="46">
        <f>IF(H949=0,DATE(2026,10,29),IF(H949=1,DATE(2026,10,30),DATE(2026,11,2)+7*INT((H949-2)/3)+CHOOSE(MOD(H949-2,3)+1,0,2,4)))</f>
        <v/>
      </c>
    </row>
    <row r="950" ht="15" customHeight="1" s="24">
      <c r="A950" s="43" t="n">
        <v>949</v>
      </c>
      <c r="B950" s="44" t="inlineStr">
        <is>
          <t>Risorgimento e unificação (1815–1870)</t>
        </is>
      </c>
      <c r="C950" s="45" t="inlineStr">
        <is>
          <t>1860</t>
        </is>
      </c>
      <c r="D950" s="44" t="inlineStr">
        <is>
          <t>Garibaldi em Nápoles</t>
        </is>
      </c>
      <c r="E950" s="44" t="inlineStr">
        <is>
          <t>Nápoles</t>
        </is>
      </c>
      <c r="F950" s="45" t="inlineStr">
        <is>
          <t>Pendente</t>
        </is>
      </c>
      <c r="G950" s="45" t="n">
        <v>1860</v>
      </c>
      <c r="H950" s="43" t="n">
        <v>903</v>
      </c>
      <c r="I950" s="46">
        <f>IF(H950=0,DATE(2026,10,29),IF(H950=1,DATE(2026,10,30),DATE(2026,11,2)+7*INT((H950-2)/3)+CHOOSE(MOD(H950-2,3)+1,0,2,4)))</f>
        <v/>
      </c>
    </row>
    <row r="951" ht="15" customHeight="1" s="24">
      <c r="A951" s="43" t="n">
        <v>950</v>
      </c>
      <c r="B951" s="44" t="inlineStr">
        <is>
          <t>Risorgimento e unificação (1815–1870)</t>
        </is>
      </c>
      <c r="C951" s="45" t="inlineStr">
        <is>
          <t>1861</t>
        </is>
      </c>
      <c r="D951" s="44" t="inlineStr">
        <is>
          <t>A proclamação do Reino da Itália</t>
        </is>
      </c>
      <c r="E951" s="44" t="inlineStr">
        <is>
          <t>Turim</t>
        </is>
      </c>
      <c r="F951" s="45" t="inlineStr">
        <is>
          <t>Pendente</t>
        </is>
      </c>
      <c r="G951" s="45" t="n">
        <v>1861</v>
      </c>
      <c r="H951" s="43" t="n">
        <v>904</v>
      </c>
      <c r="I951" s="46">
        <f>IF(H951=0,DATE(2026,10,29),IF(H951=1,DATE(2026,10,30),DATE(2026,11,2)+7*INT((H951-2)/3)+CHOOSE(MOD(H951-2,3)+1,0,2,4)))</f>
        <v/>
      </c>
    </row>
    <row r="952" ht="15" customHeight="1" s="24">
      <c r="A952" s="43" t="n">
        <v>951</v>
      </c>
      <c r="B952" s="44" t="inlineStr">
        <is>
          <t>Risorgimento e unificação (1815–1870)</t>
        </is>
      </c>
      <c r="C952" s="45" t="inlineStr">
        <is>
          <t>1861</t>
        </is>
      </c>
      <c r="D952" s="44" t="inlineStr">
        <is>
          <t>A morte de Cavour</t>
        </is>
      </c>
      <c r="E952" s="44" t="inlineStr">
        <is>
          <t>Turim</t>
        </is>
      </c>
      <c r="F952" s="45" t="inlineStr">
        <is>
          <t>Pendente</t>
        </is>
      </c>
      <c r="G952" s="45" t="n">
        <v>1861</v>
      </c>
      <c r="H952" s="43" t="n">
        <v>905</v>
      </c>
      <c r="I952" s="46">
        <f>IF(H952=0,DATE(2026,10,29),IF(H952=1,DATE(2026,10,30),DATE(2026,11,2)+7*INT((H952-2)/3)+CHOOSE(MOD(H952-2,3)+1,0,2,4)))</f>
        <v/>
      </c>
    </row>
    <row r="953" ht="15" customHeight="1" s="24">
      <c r="A953" s="43" t="n">
        <v>952</v>
      </c>
      <c r="B953" s="44" t="inlineStr">
        <is>
          <t>Risorgimento e unificação (1815–1870)</t>
        </is>
      </c>
      <c r="C953" s="45" t="inlineStr">
        <is>
          <t>1862</t>
        </is>
      </c>
      <c r="D953" s="44" t="inlineStr">
        <is>
          <t>Aspromonte</t>
        </is>
      </c>
      <c r="E953" s="44" t="inlineStr">
        <is>
          <t>Aspromonte</t>
        </is>
      </c>
      <c r="F953" s="45" t="inlineStr">
        <is>
          <t>Pendente</t>
        </is>
      </c>
      <c r="G953" s="45" t="n">
        <v>1862</v>
      </c>
      <c r="H953" s="43" t="n">
        <v>906</v>
      </c>
      <c r="I953" s="46">
        <f>IF(H953=0,DATE(2026,10,29),IF(H953=1,DATE(2026,10,30),DATE(2026,11,2)+7*INT((H953-2)/3)+CHOOSE(MOD(H953-2,3)+1,0,2,4)))</f>
        <v/>
      </c>
    </row>
    <row r="954" ht="15" customHeight="1" s="24">
      <c r="A954" s="43" t="n">
        <v>953</v>
      </c>
      <c r="B954" s="44" t="inlineStr">
        <is>
          <t>Risorgimento e unificação (1815–1870)</t>
        </is>
      </c>
      <c r="C954" s="45" t="inlineStr">
        <is>
          <t>1864</t>
        </is>
      </c>
      <c r="D954" s="44" t="inlineStr">
        <is>
          <t>A Convenção de Setembro</t>
        </is>
      </c>
      <c r="E954" s="44" t="inlineStr">
        <is>
          <t>Turim</t>
        </is>
      </c>
      <c r="F954" s="45" t="inlineStr">
        <is>
          <t>Pendente</t>
        </is>
      </c>
      <c r="G954" s="45" t="n">
        <v>1864</v>
      </c>
      <c r="H954" s="43" t="n">
        <v>907</v>
      </c>
      <c r="I954" s="46">
        <f>IF(H954=0,DATE(2026,10,29),IF(H954=1,DATE(2026,10,30),DATE(2026,11,2)+7*INT((H954-2)/3)+CHOOSE(MOD(H954-2,3)+1,0,2,4)))</f>
        <v/>
      </c>
    </row>
    <row r="955" ht="15" customHeight="1" s="24">
      <c r="A955" s="43" t="n">
        <v>954</v>
      </c>
      <c r="B955" s="44" t="inlineStr">
        <is>
          <t>Risorgimento e unificação (1815–1870)</t>
        </is>
      </c>
      <c r="C955" s="45" t="inlineStr">
        <is>
          <t>1865</t>
        </is>
      </c>
      <c r="D955" s="44" t="inlineStr">
        <is>
          <t>Florença capital da Itália</t>
        </is>
      </c>
      <c r="E955" s="44" t="inlineStr">
        <is>
          <t>Palazzo Vecchio, Florença</t>
        </is>
      </c>
      <c r="F955" s="45" t="inlineStr">
        <is>
          <t>Pendente</t>
        </is>
      </c>
      <c r="G955" s="45" t="n">
        <v>1865</v>
      </c>
      <c r="H955" s="43" t="n">
        <v>908</v>
      </c>
      <c r="I955" s="46">
        <f>IF(H955=0,DATE(2026,10,29),IF(H955=1,DATE(2026,10,30),DATE(2026,11,2)+7*INT((H955-2)/3)+CHOOSE(MOD(H955-2,3)+1,0,2,4)))</f>
        <v/>
      </c>
    </row>
    <row r="956" ht="15" customHeight="1" s="24">
      <c r="A956" s="43" t="n">
        <v>955</v>
      </c>
      <c r="B956" s="44" t="inlineStr">
        <is>
          <t>Risorgimento e unificação (1815–1870)</t>
        </is>
      </c>
      <c r="C956" s="45" t="inlineStr">
        <is>
          <t>1866</t>
        </is>
      </c>
      <c r="D956" s="44" t="inlineStr">
        <is>
          <t>A Terceira Guerra de Independência</t>
        </is>
      </c>
      <c r="E956" s="44" t="inlineStr">
        <is>
          <t>Veneza</t>
        </is>
      </c>
      <c r="F956" s="45" t="inlineStr">
        <is>
          <t>Pendente</t>
        </is>
      </c>
      <c r="G956" s="45" t="n">
        <v>1866</v>
      </c>
      <c r="H956" s="43" t="n">
        <v>909</v>
      </c>
      <c r="I956" s="46">
        <f>IF(H956=0,DATE(2026,10,29),IF(H956=1,DATE(2026,10,30),DATE(2026,11,2)+7*INT((H956-2)/3)+CHOOSE(MOD(H956-2,3)+1,0,2,4)))</f>
        <v/>
      </c>
    </row>
    <row r="957" ht="15" customHeight="1" s="24">
      <c r="A957" s="43" t="n">
        <v>956</v>
      </c>
      <c r="B957" s="44" t="inlineStr">
        <is>
          <t>Risorgimento e unificação (1815–1870)</t>
        </is>
      </c>
      <c r="C957" s="45" t="inlineStr">
        <is>
          <t>1866</t>
        </is>
      </c>
      <c r="D957" s="44" t="inlineStr">
        <is>
          <t>Veneza é incorporada à Itália</t>
        </is>
      </c>
      <c r="E957" s="44" t="inlineStr">
        <is>
          <t>Veneza</t>
        </is>
      </c>
      <c r="F957" s="45" t="inlineStr">
        <is>
          <t>Pendente</t>
        </is>
      </c>
      <c r="G957" s="45" t="n">
        <v>1866</v>
      </c>
      <c r="H957" s="43" t="n">
        <v>910</v>
      </c>
      <c r="I957" s="46">
        <f>IF(H957=0,DATE(2026,10,29),IF(H957=1,DATE(2026,10,30),DATE(2026,11,2)+7*INT((H957-2)/3)+CHOOSE(MOD(H957-2,3)+1,0,2,4)))</f>
        <v/>
      </c>
    </row>
    <row r="958" ht="15" customHeight="1" s="24">
      <c r="A958" s="43" t="n">
        <v>957</v>
      </c>
      <c r="B958" s="44" t="inlineStr">
        <is>
          <t>Risorgimento e unificação (1815–1870)</t>
        </is>
      </c>
      <c r="C958" s="45" t="inlineStr">
        <is>
          <t>1867</t>
        </is>
      </c>
      <c r="D958" s="44" t="inlineStr">
        <is>
          <t>Mentana</t>
        </is>
      </c>
      <c r="E958" s="44" t="inlineStr">
        <is>
          <t>Mentana</t>
        </is>
      </c>
      <c r="F958" s="45" t="inlineStr">
        <is>
          <t>Pendente</t>
        </is>
      </c>
      <c r="G958" s="45" t="n">
        <v>1867</v>
      </c>
      <c r="H958" s="43" t="n">
        <v>911</v>
      </c>
      <c r="I958" s="46">
        <f>IF(H958=0,DATE(2026,10,29),IF(H958=1,DATE(2026,10,30),DATE(2026,11,2)+7*INT((H958-2)/3)+CHOOSE(MOD(H958-2,3)+1,0,2,4)))</f>
        <v/>
      </c>
    </row>
    <row r="959" ht="15" customHeight="1" s="24">
      <c r="A959" s="43" t="n">
        <v>958</v>
      </c>
      <c r="B959" s="44" t="inlineStr">
        <is>
          <t>Risorgimento e unificação (1815–1870)</t>
        </is>
      </c>
      <c r="C959" s="45" t="inlineStr">
        <is>
          <t>1868</t>
        </is>
      </c>
      <c r="D959" s="44" t="inlineStr">
        <is>
          <t>A Conferência do Vaticano</t>
        </is>
      </c>
      <c r="E959" s="44" t="inlineStr">
        <is>
          <t>A definir (Roma)</t>
        </is>
      </c>
      <c r="F959" s="45" t="inlineStr">
        <is>
          <t>Pendente</t>
        </is>
      </c>
      <c r="G959" s="45" t="n">
        <v>1868</v>
      </c>
      <c r="H959" s="43" t="n">
        <v>912</v>
      </c>
      <c r="I959" s="46">
        <f>IF(H959=0,DATE(2026,10,29),IF(H959=1,DATE(2026,10,30),DATE(2026,11,2)+7*INT((H959-2)/3)+CHOOSE(MOD(H959-2,3)+1,0,2,4)))</f>
        <v/>
      </c>
    </row>
    <row r="960" ht="15" customHeight="1" s="24">
      <c r="A960" s="43" t="n">
        <v>959</v>
      </c>
      <c r="B960" s="44" t="inlineStr">
        <is>
          <t>Risorgimento e unificação (1815–1870)</t>
        </is>
      </c>
      <c r="C960" s="45" t="inlineStr">
        <is>
          <t>1869</t>
        </is>
      </c>
      <c r="D960" s="44" t="inlineStr">
        <is>
          <t>O Concílio Vaticano I</t>
        </is>
      </c>
      <c r="E960" s="44" t="inlineStr">
        <is>
          <t>Basílica de São Pedro, Roma</t>
        </is>
      </c>
      <c r="F960" s="45" t="inlineStr">
        <is>
          <t>Pendente</t>
        </is>
      </c>
      <c r="G960" s="45" t="n">
        <v>1869</v>
      </c>
      <c r="H960" s="43" t="n">
        <v>913</v>
      </c>
      <c r="I960" s="46">
        <f>IF(H960=0,DATE(2026,10,29),IF(H960=1,DATE(2026,10,30),DATE(2026,11,2)+7*INT((H960-2)/3)+CHOOSE(MOD(H960-2,3)+1,0,2,4)))</f>
        <v/>
      </c>
    </row>
    <row r="961" ht="15" customHeight="1" s="24">
      <c r="A961" s="43" t="n">
        <v>960</v>
      </c>
      <c r="B961" s="44" t="inlineStr">
        <is>
          <t>Risorgimento e unificação (1815–1870)</t>
        </is>
      </c>
      <c r="C961" s="45" t="inlineStr">
        <is>
          <t>1870</t>
        </is>
      </c>
      <c r="D961" s="44" t="inlineStr">
        <is>
          <t>A Breccia di Porta Pia</t>
        </is>
      </c>
      <c r="E961" s="44" t="inlineStr">
        <is>
          <t>Porta Pia, Roma</t>
        </is>
      </c>
      <c r="F961" s="45" t="inlineStr">
        <is>
          <t>Pendente</t>
        </is>
      </c>
      <c r="G961" s="45" t="n">
        <v>1870</v>
      </c>
      <c r="H961" s="43" t="n">
        <v>914</v>
      </c>
      <c r="I961" s="46">
        <f>IF(H961=0,DATE(2026,10,29),IF(H961=1,DATE(2026,10,30),DATE(2026,11,2)+7*INT((H961-2)/3)+CHOOSE(MOD(H961-2,3)+1,0,2,4)))</f>
        <v/>
      </c>
    </row>
    <row r="962" ht="15" customHeight="1" s="24">
      <c r="A962" s="43" t="n">
        <v>961</v>
      </c>
      <c r="B962" s="44" t="inlineStr">
        <is>
          <t>Risorgimento e unificação (1815–1870)</t>
        </is>
      </c>
      <c r="C962" s="45" t="inlineStr">
        <is>
          <t>1870</t>
        </is>
      </c>
      <c r="D962" s="44" t="inlineStr">
        <is>
          <t>Roma, capital da Itália</t>
        </is>
      </c>
      <c r="E962" s="44" t="inlineStr">
        <is>
          <t>A definir (Roma)</t>
        </is>
      </c>
      <c r="F962" s="45" t="inlineStr">
        <is>
          <t>Pendente</t>
        </is>
      </c>
      <c r="G962" s="45" t="n">
        <v>1870</v>
      </c>
      <c r="H962" s="43" t="n">
        <v>915</v>
      </c>
      <c r="I962" s="46">
        <f>IF(H962=0,DATE(2026,10,29),IF(H962=1,DATE(2026,10,30),DATE(2026,11,2)+7*INT((H962-2)/3)+CHOOSE(MOD(H962-2,3)+1,0,2,4)))</f>
        <v/>
      </c>
    </row>
    <row r="963" ht="15" customHeight="1" s="24">
      <c r="A963" s="43" t="n">
        <v>962</v>
      </c>
      <c r="B963" s="44" t="inlineStr">
        <is>
          <t>Risorgimento e unificação (1815–1870)</t>
        </is>
      </c>
      <c r="C963" s="45" t="inlineStr">
        <is>
          <t>1870</t>
        </is>
      </c>
      <c r="D963" s="44" t="inlineStr">
        <is>
          <t>O papa se torna prisioneiro do Vaticano</t>
        </is>
      </c>
      <c r="E963" s="44" t="inlineStr">
        <is>
          <t>Vaticano, Roma</t>
        </is>
      </c>
      <c r="F963" s="45" t="inlineStr">
        <is>
          <t>Pendente</t>
        </is>
      </c>
      <c r="G963" s="45" t="n">
        <v>1870</v>
      </c>
      <c r="H963" s="43" t="n">
        <v>916</v>
      </c>
      <c r="I963" s="46">
        <f>IF(H963=0,DATE(2026,10,29),IF(H963=1,DATE(2026,10,30),DATE(2026,11,2)+7*INT((H963-2)/3)+CHOOSE(MOD(H963-2,3)+1,0,2,4)))</f>
        <v/>
      </c>
    </row>
    <row r="964" ht="23.85" customHeight="1" s="24">
      <c r="A964" s="43" t="n">
        <v>963</v>
      </c>
      <c r="B964" s="44" t="inlineStr">
        <is>
          <t>Itália liberal e Grande Guerra (1871–1921)</t>
        </is>
      </c>
      <c r="C964" s="45" t="inlineStr">
        <is>
          <t>1871</t>
        </is>
      </c>
      <c r="D964" s="44" t="inlineStr">
        <is>
          <t>Roma assume a capital</t>
        </is>
      </c>
      <c r="E964" s="44" t="inlineStr">
        <is>
          <t>Palazzo del Quirinale, Roma</t>
        </is>
      </c>
      <c r="F964" s="45" t="inlineStr">
        <is>
          <t>Pendente</t>
        </is>
      </c>
      <c r="G964" s="45" t="n">
        <v>1871</v>
      </c>
      <c r="H964" s="43" t="n">
        <v>917</v>
      </c>
      <c r="I964" s="46">
        <f>IF(H964=0,DATE(2026,10,29),IF(H964=1,DATE(2026,10,30),DATE(2026,11,2)+7*INT((H964-2)/3)+CHOOSE(MOD(H964-2,3)+1,0,2,4)))</f>
        <v/>
      </c>
    </row>
    <row r="965" ht="23.85" customHeight="1" s="24">
      <c r="A965" s="43" t="n">
        <v>964</v>
      </c>
      <c r="B965" s="44" t="inlineStr">
        <is>
          <t>Itália liberal e Grande Guerra (1871–1921)</t>
        </is>
      </c>
      <c r="C965" s="45" t="inlineStr">
        <is>
          <t>1871</t>
        </is>
      </c>
      <c r="D965" s="44" t="inlineStr">
        <is>
          <t>A Lei das Garantias</t>
        </is>
      </c>
      <c r="E965" s="44" t="inlineStr">
        <is>
          <t>A definir (Roma)</t>
        </is>
      </c>
      <c r="F965" s="45" t="inlineStr">
        <is>
          <t>Pendente</t>
        </is>
      </c>
      <c r="G965" s="45" t="n">
        <v>1871</v>
      </c>
      <c r="H965" s="43" t="n">
        <v>918</v>
      </c>
      <c r="I965" s="46">
        <f>IF(H965=0,DATE(2026,10,29),IF(H965=1,DATE(2026,10,30),DATE(2026,11,2)+7*INT((H965-2)/3)+CHOOSE(MOD(H965-2,3)+1,0,2,4)))</f>
        <v/>
      </c>
    </row>
    <row r="966" ht="23.85" customHeight="1" s="24">
      <c r="A966" s="43" t="n">
        <v>965</v>
      </c>
      <c r="B966" s="44" t="inlineStr">
        <is>
          <t>Itália liberal e Grande Guerra (1871–1921)</t>
        </is>
      </c>
      <c r="C966" s="45" t="inlineStr">
        <is>
          <t>1873</t>
        </is>
      </c>
      <c r="D966" s="44" t="inlineStr">
        <is>
          <t>A Piazza Vittorio e o Esquilino planejado</t>
        </is>
      </c>
      <c r="E966" s="44" t="inlineStr">
        <is>
          <t>Piazza Vittorio, Roma</t>
        </is>
      </c>
      <c r="F966" s="45" t="inlineStr">
        <is>
          <t>Pendente</t>
        </is>
      </c>
      <c r="G966" s="45" t="n">
        <v>1873</v>
      </c>
      <c r="H966" s="43" t="n">
        <v>919</v>
      </c>
      <c r="I966" s="46">
        <f>IF(H966=0,DATE(2026,10,29),IF(H966=1,DATE(2026,10,30),DATE(2026,11,2)+7*INT((H966-2)/3)+CHOOSE(MOD(H966-2,3)+1,0,2,4)))</f>
        <v/>
      </c>
    </row>
    <row r="967" ht="23.85" customHeight="1" s="24">
      <c r="A967" s="43" t="n">
        <v>966</v>
      </c>
      <c r="B967" s="44" t="inlineStr">
        <is>
          <t>Itália liberal e Grande Guerra (1871–1921)</t>
        </is>
      </c>
      <c r="C967" s="45" t="inlineStr">
        <is>
          <t>1878</t>
        </is>
      </c>
      <c r="D967" s="44" t="inlineStr">
        <is>
          <t>A morte de Vítor Emanuel II</t>
        </is>
      </c>
      <c r="E967" s="44" t="inlineStr">
        <is>
          <t>Panteão, Roma</t>
        </is>
      </c>
      <c r="F967" s="45" t="inlineStr">
        <is>
          <t>Pendente</t>
        </is>
      </c>
      <c r="G967" s="45" t="n">
        <v>1878</v>
      </c>
      <c r="H967" s="43" t="n">
        <v>920</v>
      </c>
      <c r="I967" s="46">
        <f>IF(H967=0,DATE(2026,10,29),IF(H967=1,DATE(2026,10,30),DATE(2026,11,2)+7*INT((H967-2)/3)+CHOOSE(MOD(H967-2,3)+1,0,2,4)))</f>
        <v/>
      </c>
    </row>
    <row r="968" ht="23.85" customHeight="1" s="24">
      <c r="A968" s="43" t="n">
        <v>967</v>
      </c>
      <c r="B968" s="44" t="inlineStr">
        <is>
          <t>Itália liberal e Grande Guerra (1871–1921)</t>
        </is>
      </c>
      <c r="C968" s="45" t="inlineStr">
        <is>
          <t>1880</t>
        </is>
      </c>
      <c r="D968" s="44" t="inlineStr">
        <is>
          <t>As primeiras ferrovias Roma–Nápoles</t>
        </is>
      </c>
      <c r="E968" s="44" t="inlineStr">
        <is>
          <t>Estação Termini, Roma</t>
        </is>
      </c>
      <c r="F968" s="45" t="inlineStr">
        <is>
          <t>Pendente</t>
        </is>
      </c>
      <c r="G968" s="45" t="n">
        <v>1880</v>
      </c>
      <c r="H968" s="43" t="n">
        <v>921</v>
      </c>
      <c r="I968" s="46">
        <f>IF(H968=0,DATE(2026,10,29),IF(H968=1,DATE(2026,10,30),DATE(2026,11,2)+7*INT((H968-2)/3)+CHOOSE(MOD(H968-2,3)+1,0,2,4)))</f>
        <v/>
      </c>
    </row>
    <row r="969" ht="23.85" customHeight="1" s="24">
      <c r="A969" s="43" t="n">
        <v>968</v>
      </c>
      <c r="B969" s="44" t="inlineStr">
        <is>
          <t>Itália liberal e Grande Guerra (1871–1921)</t>
        </is>
      </c>
      <c r="C969" s="45" t="inlineStr">
        <is>
          <t>1882</t>
        </is>
      </c>
      <c r="D969" s="44" t="inlineStr">
        <is>
          <t>A Tríplice Aliança</t>
        </is>
      </c>
      <c r="E969" s="44" t="inlineStr">
        <is>
          <t>A definir (Roma)</t>
        </is>
      </c>
      <c r="F969" s="45" t="inlineStr">
        <is>
          <t>Pendente</t>
        </is>
      </c>
      <c r="G969" s="45" t="n">
        <v>1882</v>
      </c>
      <c r="H969" s="43" t="n">
        <v>922</v>
      </c>
      <c r="I969" s="46">
        <f>IF(H969=0,DATE(2026,10,29),IF(H969=1,DATE(2026,10,30),DATE(2026,11,2)+7*INT((H969-2)/3)+CHOOSE(MOD(H969-2,3)+1,0,2,4)))</f>
        <v/>
      </c>
    </row>
    <row r="970" ht="23.85" customHeight="1" s="24">
      <c r="A970" s="43" t="n">
        <v>969</v>
      </c>
      <c r="B970" s="44" t="inlineStr">
        <is>
          <t>Itália liberal e Grande Guerra (1871–1921)</t>
        </is>
      </c>
      <c r="C970" s="45" t="inlineStr">
        <is>
          <t>1885</t>
        </is>
      </c>
      <c r="D970" s="44" t="inlineStr">
        <is>
          <t>O Vittoriano é planejado</t>
        </is>
      </c>
      <c r="E970" s="44" t="inlineStr">
        <is>
          <t>Vittoriano, Roma</t>
        </is>
      </c>
      <c r="F970" s="45" t="inlineStr">
        <is>
          <t>Pendente</t>
        </is>
      </c>
      <c r="G970" s="45" t="n">
        <v>1885</v>
      </c>
      <c r="H970" s="43" t="n">
        <v>923</v>
      </c>
      <c r="I970" s="46">
        <f>IF(H970=0,DATE(2026,10,29),IF(H970=1,DATE(2026,10,30),DATE(2026,11,2)+7*INT((H970-2)/3)+CHOOSE(MOD(H970-2,3)+1,0,2,4)))</f>
        <v/>
      </c>
    </row>
    <row r="971" ht="23.85" customHeight="1" s="24">
      <c r="A971" s="43" t="n">
        <v>970</v>
      </c>
      <c r="B971" s="44" t="inlineStr">
        <is>
          <t>Itália liberal e Grande Guerra (1871–1921)</t>
        </is>
      </c>
      <c r="C971" s="45" t="inlineStr">
        <is>
          <t>1887</t>
        </is>
      </c>
      <c r="D971" s="44" t="inlineStr">
        <is>
          <t>A Eritreia e a aventura colonial</t>
        </is>
      </c>
      <c r="E971" s="44" t="inlineStr">
        <is>
          <t>A definir (Roma)</t>
        </is>
      </c>
      <c r="F971" s="45" t="inlineStr">
        <is>
          <t>Pendente</t>
        </is>
      </c>
      <c r="G971" s="45" t="n">
        <v>1887</v>
      </c>
      <c r="H971" s="43" t="n">
        <v>924</v>
      </c>
      <c r="I971" s="46">
        <f>IF(H971=0,DATE(2026,10,29),IF(H971=1,DATE(2026,10,30),DATE(2026,11,2)+7*INT((H971-2)/3)+CHOOSE(MOD(H971-2,3)+1,0,2,4)))</f>
        <v/>
      </c>
    </row>
    <row r="972" ht="23.85" customHeight="1" s="24">
      <c r="A972" s="43" t="n">
        <v>971</v>
      </c>
      <c r="B972" s="44" t="inlineStr">
        <is>
          <t>Itália liberal e Grande Guerra (1871–1921)</t>
        </is>
      </c>
      <c r="C972" s="45" t="inlineStr">
        <is>
          <t>1890</t>
        </is>
      </c>
      <c r="D972" s="44" t="inlineStr">
        <is>
          <t>O Lungotevere e os novos muros do Tibre</t>
        </is>
      </c>
      <c r="E972" s="44" t="inlineStr">
        <is>
          <t>Lungotevere, Roma</t>
        </is>
      </c>
      <c r="F972" s="45" t="inlineStr">
        <is>
          <t>Pendente</t>
        </is>
      </c>
      <c r="G972" s="45" t="n">
        <v>1890</v>
      </c>
      <c r="H972" s="43" t="n">
        <v>925</v>
      </c>
      <c r="I972" s="46">
        <f>IF(H972=0,DATE(2026,10,29),IF(H972=1,DATE(2026,10,30),DATE(2026,11,2)+7*INT((H972-2)/3)+CHOOSE(MOD(H972-2,3)+1,0,2,4)))</f>
        <v/>
      </c>
    </row>
    <row r="973" ht="23.85" customHeight="1" s="24">
      <c r="A973" s="43" t="n">
        <v>972</v>
      </c>
      <c r="B973" s="44" t="inlineStr">
        <is>
          <t>Itália liberal e Grande Guerra (1871–1921)</t>
        </is>
      </c>
      <c r="C973" s="45" t="inlineStr">
        <is>
          <t>1895</t>
        </is>
      </c>
      <c r="D973" s="44" t="inlineStr">
        <is>
          <t>Marconi e o rádio</t>
        </is>
      </c>
      <c r="E973" s="44" t="inlineStr">
        <is>
          <t>Pontecchio Marconi</t>
        </is>
      </c>
      <c r="F973" s="45" t="inlineStr">
        <is>
          <t>Pendente</t>
        </is>
      </c>
      <c r="G973" s="45" t="n">
        <v>1895</v>
      </c>
      <c r="H973" s="43" t="n">
        <v>926</v>
      </c>
      <c r="I973" s="46">
        <f>IF(H973=0,DATE(2026,10,29),IF(H973=1,DATE(2026,10,30),DATE(2026,11,2)+7*INT((H973-2)/3)+CHOOSE(MOD(H973-2,3)+1,0,2,4)))</f>
        <v/>
      </c>
    </row>
    <row r="974" ht="23.85" customHeight="1" s="24">
      <c r="A974" s="43" t="n">
        <v>973</v>
      </c>
      <c r="B974" s="44" t="inlineStr">
        <is>
          <t>Itália liberal e Grande Guerra (1871–1921)</t>
        </is>
      </c>
      <c r="C974" s="45" t="inlineStr">
        <is>
          <t>1896</t>
        </is>
      </c>
      <c r="D974" s="44" t="inlineStr">
        <is>
          <t>Adua: a derrota colonial</t>
        </is>
      </c>
      <c r="E974" s="44" t="inlineStr">
        <is>
          <t>A definir (Roma)</t>
        </is>
      </c>
      <c r="F974" s="45" t="inlineStr">
        <is>
          <t>Pendente</t>
        </is>
      </c>
      <c r="G974" s="45" t="n">
        <v>1896</v>
      </c>
      <c r="H974" s="43" t="n">
        <v>927</v>
      </c>
      <c r="I974" s="46">
        <f>IF(H974=0,DATE(2026,10,29),IF(H974=1,DATE(2026,10,30),DATE(2026,11,2)+7*INT((H974-2)/3)+CHOOSE(MOD(H974-2,3)+1,0,2,4)))</f>
        <v/>
      </c>
    </row>
    <row r="975" ht="23.85" customHeight="1" s="24">
      <c r="A975" s="43" t="n">
        <v>974</v>
      </c>
      <c r="B975" s="44" t="inlineStr">
        <is>
          <t>Itália liberal e Grande Guerra (1871–1921)</t>
        </is>
      </c>
      <c r="C975" s="45" t="inlineStr">
        <is>
          <t>1900</t>
        </is>
      </c>
      <c r="D975" s="44" t="inlineStr">
        <is>
          <t>O assassinato do rei Umberto I</t>
        </is>
      </c>
      <c r="E975" s="44" t="inlineStr">
        <is>
          <t>Monza</t>
        </is>
      </c>
      <c r="F975" s="45" t="inlineStr">
        <is>
          <t>Pendente</t>
        </is>
      </c>
      <c r="G975" s="45" t="n">
        <v>1900</v>
      </c>
      <c r="H975" s="43" t="n">
        <v>928</v>
      </c>
      <c r="I975" s="46">
        <f>IF(H975=0,DATE(2026,10,29),IF(H975=1,DATE(2026,10,30),DATE(2026,11,2)+7*INT((H975-2)/3)+CHOOSE(MOD(H975-2,3)+1,0,2,4)))</f>
        <v/>
      </c>
    </row>
    <row r="976" ht="23.85" customHeight="1" s="24">
      <c r="A976" s="43" t="n">
        <v>975</v>
      </c>
      <c r="B976" s="44" t="inlineStr">
        <is>
          <t>Itália liberal e Grande Guerra (1871–1921)</t>
        </is>
      </c>
      <c r="C976" s="45" t="inlineStr">
        <is>
          <t>1903</t>
        </is>
      </c>
      <c r="D976" s="44" t="inlineStr">
        <is>
          <t>Pio X</t>
        </is>
      </c>
      <c r="E976" s="44" t="inlineStr">
        <is>
          <t>A definir (Roma)</t>
        </is>
      </c>
      <c r="F976" s="45" t="inlineStr">
        <is>
          <t>Pendente</t>
        </is>
      </c>
      <c r="G976" s="45" t="n">
        <v>1903</v>
      </c>
      <c r="H976" s="43" t="n">
        <v>929</v>
      </c>
      <c r="I976" s="46">
        <f>IF(H976=0,DATE(2026,10,29),IF(H976=1,DATE(2026,10,30),DATE(2026,11,2)+7*INT((H976-2)/3)+CHOOSE(MOD(H976-2,3)+1,0,2,4)))</f>
        <v/>
      </c>
    </row>
    <row r="977" ht="23.85" customHeight="1" s="24">
      <c r="A977" s="43" t="n">
        <v>976</v>
      </c>
      <c r="B977" s="44" t="inlineStr">
        <is>
          <t>Itália liberal e Grande Guerra (1871–1921)</t>
        </is>
      </c>
      <c r="C977" s="45" t="inlineStr">
        <is>
          <t>1905</t>
        </is>
      </c>
      <c r="D977" s="44" t="inlineStr">
        <is>
          <t>O Palácio de Justiça e Roma monumental</t>
        </is>
      </c>
      <c r="E977" s="44" t="inlineStr">
        <is>
          <t>Palácio da Justiça, Roma</t>
        </is>
      </c>
      <c r="F977" s="45" t="inlineStr">
        <is>
          <t>Pendente</t>
        </is>
      </c>
      <c r="G977" s="45" t="n">
        <v>1905</v>
      </c>
      <c r="H977" s="43" t="n">
        <v>930</v>
      </c>
      <c r="I977" s="46">
        <f>IF(H977=0,DATE(2026,10,29),IF(H977=1,DATE(2026,10,30),DATE(2026,11,2)+7*INT((H977-2)/3)+CHOOSE(MOD(H977-2,3)+1,0,2,4)))</f>
        <v/>
      </c>
    </row>
    <row r="978" ht="23.85" customHeight="1" s="24">
      <c r="A978" s="43" t="n">
        <v>977</v>
      </c>
      <c r="B978" s="44" t="inlineStr">
        <is>
          <t>Itália liberal e Grande Guerra (1871–1921)</t>
        </is>
      </c>
      <c r="C978" s="45" t="inlineStr">
        <is>
          <t>1906</t>
        </is>
      </c>
      <c r="D978" s="44" t="inlineStr">
        <is>
          <t>A Exposição de Milão</t>
        </is>
      </c>
      <c r="E978" s="44" t="inlineStr">
        <is>
          <t>Milão</t>
        </is>
      </c>
      <c r="F978" s="45" t="inlineStr">
        <is>
          <t>Pendente</t>
        </is>
      </c>
      <c r="G978" s="45" t="n">
        <v>1906</v>
      </c>
      <c r="H978" s="43" t="n">
        <v>931</v>
      </c>
      <c r="I978" s="46">
        <f>IF(H978=0,DATE(2026,10,29),IF(H978=1,DATE(2026,10,30),DATE(2026,11,2)+7*INT((H978-2)/3)+CHOOSE(MOD(H978-2,3)+1,0,2,4)))</f>
        <v/>
      </c>
    </row>
    <row r="979" ht="23.85" customHeight="1" s="24">
      <c r="A979" s="43" t="n">
        <v>978</v>
      </c>
      <c r="B979" s="44" t="inlineStr">
        <is>
          <t>Itália liberal e Grande Guerra (1871–1921)</t>
        </is>
      </c>
      <c r="C979" s="45" t="inlineStr">
        <is>
          <t>1908</t>
        </is>
      </c>
      <c r="D979" s="44" t="inlineStr">
        <is>
          <t>O terremoto de Messina</t>
        </is>
      </c>
      <c r="E979" s="44" t="inlineStr">
        <is>
          <t>Messina</t>
        </is>
      </c>
      <c r="F979" s="45" t="inlineStr">
        <is>
          <t>Pendente</t>
        </is>
      </c>
      <c r="G979" s="45" t="n">
        <v>1908</v>
      </c>
      <c r="H979" s="43" t="n">
        <v>932</v>
      </c>
      <c r="I979" s="46">
        <f>IF(H979=0,DATE(2026,10,29),IF(H979=1,DATE(2026,10,30),DATE(2026,11,2)+7*INT((H979-2)/3)+CHOOSE(MOD(H979-2,3)+1,0,2,4)))</f>
        <v/>
      </c>
    </row>
    <row r="980" ht="23.85" customHeight="1" s="24">
      <c r="A980" s="43" t="n">
        <v>979</v>
      </c>
      <c r="B980" s="44" t="inlineStr">
        <is>
          <t>Itália liberal e Grande Guerra (1871–1921)</t>
        </is>
      </c>
      <c r="C980" s="45" t="inlineStr">
        <is>
          <t>1909</t>
        </is>
      </c>
      <c r="D980" s="44" t="inlineStr">
        <is>
          <t>O Manifesto Futurista</t>
        </is>
      </c>
      <c r="E980" s="44" t="inlineStr">
        <is>
          <t>Milão</t>
        </is>
      </c>
      <c r="F980" s="45" t="inlineStr">
        <is>
          <t>Pendente</t>
        </is>
      </c>
      <c r="G980" s="45" t="n">
        <v>1909</v>
      </c>
      <c r="H980" s="43" t="n">
        <v>933</v>
      </c>
      <c r="I980" s="46">
        <f>IF(H980=0,DATE(2026,10,29),IF(H980=1,DATE(2026,10,30),DATE(2026,11,2)+7*INT((H980-2)/3)+CHOOSE(MOD(H980-2,3)+1,0,2,4)))</f>
        <v/>
      </c>
    </row>
    <row r="981" ht="23.85" customHeight="1" s="24">
      <c r="A981" s="43" t="n">
        <v>980</v>
      </c>
      <c r="B981" s="44" t="inlineStr">
        <is>
          <t>Itália liberal e Grande Guerra (1871–1921)</t>
        </is>
      </c>
      <c r="C981" s="45" t="inlineStr">
        <is>
          <t>1911</t>
        </is>
      </c>
      <c r="D981" s="44" t="inlineStr">
        <is>
          <t>O Vittoriano é inaugurado</t>
        </is>
      </c>
      <c r="E981" s="44" t="inlineStr">
        <is>
          <t>Vittoriano, Roma</t>
        </is>
      </c>
      <c r="F981" s="45" t="inlineStr">
        <is>
          <t>Pendente</t>
        </is>
      </c>
      <c r="G981" s="45" t="n">
        <v>1911</v>
      </c>
      <c r="H981" s="43" t="n">
        <v>934</v>
      </c>
      <c r="I981" s="46">
        <f>IF(H981=0,DATE(2026,10,29),IF(H981=1,DATE(2026,10,30),DATE(2026,11,2)+7*INT((H981-2)/3)+CHOOSE(MOD(H981-2,3)+1,0,2,4)))</f>
        <v/>
      </c>
    </row>
    <row r="982" ht="23.85" customHeight="1" s="24">
      <c r="A982" s="43" t="n">
        <v>981</v>
      </c>
      <c r="B982" s="44" t="inlineStr">
        <is>
          <t>Itália liberal e Grande Guerra (1871–1921)</t>
        </is>
      </c>
      <c r="C982" s="45" t="inlineStr">
        <is>
          <t>1911</t>
        </is>
      </c>
      <c r="D982" s="44" t="inlineStr">
        <is>
          <t>A guerra ítalo-turca</t>
        </is>
      </c>
      <c r="E982" s="44" t="inlineStr">
        <is>
          <t>A definir (Roma)</t>
        </is>
      </c>
      <c r="F982" s="45" t="inlineStr">
        <is>
          <t>Pendente</t>
        </is>
      </c>
      <c r="G982" s="45" t="n">
        <v>1911</v>
      </c>
      <c r="H982" s="43" t="n">
        <v>935</v>
      </c>
      <c r="I982" s="46">
        <f>IF(H982=0,DATE(2026,10,29),IF(H982=1,DATE(2026,10,30),DATE(2026,11,2)+7*INT((H982-2)/3)+CHOOSE(MOD(H982-2,3)+1,0,2,4)))</f>
        <v/>
      </c>
    </row>
    <row r="983" ht="23.85" customHeight="1" s="24">
      <c r="A983" s="43" t="n">
        <v>982</v>
      </c>
      <c r="B983" s="44" t="inlineStr">
        <is>
          <t>Itália liberal e Grande Guerra (1871–1921)</t>
        </is>
      </c>
      <c r="C983" s="45" t="inlineStr">
        <is>
          <t>1913</t>
        </is>
      </c>
      <c r="D983" s="44" t="inlineStr">
        <is>
          <t>Roma e a Exposição de Belas Artes</t>
        </is>
      </c>
      <c r="E983" s="44" t="inlineStr">
        <is>
          <t>A definir (Roma)</t>
        </is>
      </c>
      <c r="F983" s="45" t="inlineStr">
        <is>
          <t>Pendente</t>
        </is>
      </c>
      <c r="G983" s="45" t="n">
        <v>1913</v>
      </c>
      <c r="H983" s="43" t="n">
        <v>936</v>
      </c>
      <c r="I983" s="46">
        <f>IF(H983=0,DATE(2026,10,29),IF(H983=1,DATE(2026,10,30),DATE(2026,11,2)+7*INT((H983-2)/3)+CHOOSE(MOD(H983-2,3)+1,0,2,4)))</f>
        <v/>
      </c>
    </row>
    <row r="984" ht="23.85" customHeight="1" s="24">
      <c r="A984" s="43" t="n">
        <v>983</v>
      </c>
      <c r="B984" s="44" t="inlineStr">
        <is>
          <t>Itália liberal e Grande Guerra (1871–1921)</t>
        </is>
      </c>
      <c r="C984" s="45" t="inlineStr">
        <is>
          <t>1914</t>
        </is>
      </c>
      <c r="D984" s="44" t="inlineStr">
        <is>
          <t>A neutralidade italiana</t>
        </is>
      </c>
      <c r="E984" s="44" t="inlineStr">
        <is>
          <t>A definir (Roma)</t>
        </is>
      </c>
      <c r="F984" s="45" t="inlineStr">
        <is>
          <t>Pendente</t>
        </is>
      </c>
      <c r="G984" s="45" t="n">
        <v>1914</v>
      </c>
      <c r="H984" s="43" t="n">
        <v>937</v>
      </c>
      <c r="I984" s="46">
        <f>IF(H984=0,DATE(2026,10,29),IF(H984=1,DATE(2026,10,30),DATE(2026,11,2)+7*INT((H984-2)/3)+CHOOSE(MOD(H984-2,3)+1,0,2,4)))</f>
        <v/>
      </c>
    </row>
    <row r="985" ht="23.85" customHeight="1" s="24">
      <c r="A985" s="43" t="n">
        <v>984</v>
      </c>
      <c r="B985" s="44" t="inlineStr">
        <is>
          <t>Itália liberal e Grande Guerra (1871–1921)</t>
        </is>
      </c>
      <c r="C985" s="45" t="inlineStr">
        <is>
          <t>1915</t>
        </is>
      </c>
      <c r="D985" s="44" t="inlineStr">
        <is>
          <t>A Itália entra na Primeira Guerra</t>
        </is>
      </c>
      <c r="E985" s="44" t="inlineStr">
        <is>
          <t>A definir (Roma)</t>
        </is>
      </c>
      <c r="F985" s="45" t="inlineStr">
        <is>
          <t>Pendente</t>
        </is>
      </c>
      <c r="G985" s="45" t="n">
        <v>1915</v>
      </c>
      <c r="H985" s="43" t="n">
        <v>938</v>
      </c>
      <c r="I985" s="46">
        <f>IF(H985=0,DATE(2026,10,29),IF(H985=1,DATE(2026,10,30),DATE(2026,11,2)+7*INT((H985-2)/3)+CHOOSE(MOD(H985-2,3)+1,0,2,4)))</f>
        <v/>
      </c>
    </row>
    <row r="986" ht="23.85" customHeight="1" s="24">
      <c r="A986" s="43" t="n">
        <v>985</v>
      </c>
      <c r="B986" s="44" t="inlineStr">
        <is>
          <t>Itália liberal e Grande Guerra (1871–1921)</t>
        </is>
      </c>
      <c r="C986" s="45" t="inlineStr">
        <is>
          <t>1916</t>
        </is>
      </c>
      <c r="D986" s="44" t="inlineStr">
        <is>
          <t>A frente do Isonzo</t>
        </is>
      </c>
      <c r="E986" s="44" t="inlineStr">
        <is>
          <t>Gorízia</t>
        </is>
      </c>
      <c r="F986" s="45" t="inlineStr">
        <is>
          <t>Pendente</t>
        </is>
      </c>
      <c r="G986" s="45" t="n">
        <v>1916</v>
      </c>
      <c r="H986" s="43" t="n">
        <v>939</v>
      </c>
      <c r="I986" s="46">
        <f>IF(H986=0,DATE(2026,10,29),IF(H986=1,DATE(2026,10,30),DATE(2026,11,2)+7*INT((H986-2)/3)+CHOOSE(MOD(H986-2,3)+1,0,2,4)))</f>
        <v/>
      </c>
    </row>
    <row r="987" ht="23.85" customHeight="1" s="24">
      <c r="A987" s="43" t="n">
        <v>986</v>
      </c>
      <c r="B987" s="44" t="inlineStr">
        <is>
          <t>Itália liberal e Grande Guerra (1871–1921)</t>
        </is>
      </c>
      <c r="C987" s="45" t="inlineStr">
        <is>
          <t>1917</t>
        </is>
      </c>
      <c r="D987" s="44" t="inlineStr">
        <is>
          <t>Caporetto</t>
        </is>
      </c>
      <c r="E987" s="44" t="inlineStr">
        <is>
          <t>Caporetto</t>
        </is>
      </c>
      <c r="F987" s="45" t="inlineStr">
        <is>
          <t>Pendente</t>
        </is>
      </c>
      <c r="G987" s="45" t="n">
        <v>1917</v>
      </c>
      <c r="H987" s="43" t="n">
        <v>940</v>
      </c>
      <c r="I987" s="46">
        <f>IF(H987=0,DATE(2026,10,29),IF(H987=1,DATE(2026,10,30),DATE(2026,11,2)+7*INT((H987-2)/3)+CHOOSE(MOD(H987-2,3)+1,0,2,4)))</f>
        <v/>
      </c>
    </row>
    <row r="988" ht="23.85" customHeight="1" s="24">
      <c r="A988" s="43" t="n">
        <v>987</v>
      </c>
      <c r="B988" s="44" t="inlineStr">
        <is>
          <t>Itália liberal e Grande Guerra (1871–1921)</t>
        </is>
      </c>
      <c r="C988" s="45" t="inlineStr">
        <is>
          <t>1918</t>
        </is>
      </c>
      <c r="D988" s="44" t="inlineStr">
        <is>
          <t>Vittorio Veneto</t>
        </is>
      </c>
      <c r="E988" s="44" t="inlineStr">
        <is>
          <t>Vittorio Veneto</t>
        </is>
      </c>
      <c r="F988" s="45" t="inlineStr">
        <is>
          <t>Pendente</t>
        </is>
      </c>
      <c r="G988" s="45" t="n">
        <v>1918</v>
      </c>
      <c r="H988" s="43" t="n">
        <v>941</v>
      </c>
      <c r="I988" s="46">
        <f>IF(H988=0,DATE(2026,10,29),IF(H988=1,DATE(2026,10,30),DATE(2026,11,2)+7*INT((H988-2)/3)+CHOOSE(MOD(H988-2,3)+1,0,2,4)))</f>
        <v/>
      </c>
    </row>
    <row r="989" ht="23.85" customHeight="1" s="24">
      <c r="A989" s="43" t="n">
        <v>988</v>
      </c>
      <c r="B989" s="44" t="inlineStr">
        <is>
          <t>Itália liberal e Grande Guerra (1871–1921)</t>
        </is>
      </c>
      <c r="C989" s="45" t="inlineStr">
        <is>
          <t>1919</t>
        </is>
      </c>
      <c r="D989" s="44" t="inlineStr">
        <is>
          <t>A vitória mutilada</t>
        </is>
      </c>
      <c r="E989" s="44" t="inlineStr">
        <is>
          <t>A definir (Roma)</t>
        </is>
      </c>
      <c r="F989" s="45" t="inlineStr">
        <is>
          <t>Pendente</t>
        </is>
      </c>
      <c r="G989" s="45" t="n">
        <v>1919</v>
      </c>
      <c r="H989" s="43" t="n">
        <v>942</v>
      </c>
      <c r="I989" s="46">
        <f>IF(H989=0,DATE(2026,10,29),IF(H989=1,DATE(2026,10,30),DATE(2026,11,2)+7*INT((H989-2)/3)+CHOOSE(MOD(H989-2,3)+1,0,2,4)))</f>
        <v/>
      </c>
    </row>
    <row r="990" ht="23.85" customHeight="1" s="24">
      <c r="A990" s="43" t="n">
        <v>989</v>
      </c>
      <c r="B990" s="44" t="inlineStr">
        <is>
          <t>Itália liberal e Grande Guerra (1871–1921)</t>
        </is>
      </c>
      <c r="C990" s="45" t="inlineStr">
        <is>
          <t>1919</t>
        </is>
      </c>
      <c r="D990" s="44" t="inlineStr">
        <is>
          <t>Os Arditi e D'Annunzio em Fiume</t>
        </is>
      </c>
      <c r="E990" s="44" t="inlineStr">
        <is>
          <t>Fiume</t>
        </is>
      </c>
      <c r="F990" s="45" t="inlineStr">
        <is>
          <t>Pendente</t>
        </is>
      </c>
      <c r="G990" s="45" t="n">
        <v>1919</v>
      </c>
      <c r="H990" s="43" t="n">
        <v>943</v>
      </c>
      <c r="I990" s="46">
        <f>IF(H990=0,DATE(2026,10,29),IF(H990=1,DATE(2026,10,30),DATE(2026,11,2)+7*INT((H990-2)/3)+CHOOSE(MOD(H990-2,3)+1,0,2,4)))</f>
        <v/>
      </c>
    </row>
    <row r="991" ht="23.85" customHeight="1" s="24">
      <c r="A991" s="43" t="n">
        <v>990</v>
      </c>
      <c r="B991" s="44" t="inlineStr">
        <is>
          <t>Itália liberal e Grande Guerra (1871–1921)</t>
        </is>
      </c>
      <c r="C991" s="45" t="inlineStr">
        <is>
          <t>1920</t>
        </is>
      </c>
      <c r="D991" s="44" t="inlineStr">
        <is>
          <t>O Biênio Vermelho</t>
        </is>
      </c>
      <c r="E991" s="44" t="inlineStr">
        <is>
          <t>Turim</t>
        </is>
      </c>
      <c r="F991" s="45" t="inlineStr">
        <is>
          <t>Pendente</t>
        </is>
      </c>
      <c r="G991" s="45" t="n">
        <v>1920</v>
      </c>
      <c r="H991" s="43" t="n">
        <v>944</v>
      </c>
      <c r="I991" s="46">
        <f>IF(H991=0,DATE(2026,10,29),IF(H991=1,DATE(2026,10,30),DATE(2026,11,2)+7*INT((H991-2)/3)+CHOOSE(MOD(H991-2,3)+1,0,2,4)))</f>
        <v/>
      </c>
    </row>
    <row r="992" ht="23.85" customHeight="1" s="24">
      <c r="A992" s="43" t="n">
        <v>991</v>
      </c>
      <c r="B992" s="44" t="inlineStr">
        <is>
          <t>Itália liberal e Grande Guerra (1871–1921)</t>
        </is>
      </c>
      <c r="C992" s="45" t="inlineStr">
        <is>
          <t>1921</t>
        </is>
      </c>
      <c r="D992" s="44" t="inlineStr">
        <is>
          <t>O túmulo do Soldado Desconhecido</t>
        </is>
      </c>
      <c r="E992" s="44" t="inlineStr">
        <is>
          <t>Vittoriano, Roma</t>
        </is>
      </c>
      <c r="F992" s="45" t="inlineStr">
        <is>
          <t>Pendente</t>
        </is>
      </c>
      <c r="G992" s="45" t="n">
        <v>1921</v>
      </c>
      <c r="H992" s="43" t="n">
        <v>945</v>
      </c>
      <c r="I992" s="46">
        <f>IF(H992=0,DATE(2026,10,29),IF(H992=1,DATE(2026,10,30),DATE(2026,11,2)+7*INT((H992-2)/3)+CHOOSE(MOD(H992-2,3)+1,0,2,4)))</f>
        <v/>
      </c>
    </row>
    <row r="993" ht="23.85" customHeight="1" s="24">
      <c r="A993" s="43" t="n">
        <v>992</v>
      </c>
      <c r="B993" s="44" t="inlineStr">
        <is>
          <t>Fascismo e Segunda Guerra (1922–1945)</t>
        </is>
      </c>
      <c r="C993" s="45" t="inlineStr">
        <is>
          <t>1922</t>
        </is>
      </c>
      <c r="D993" s="44" t="inlineStr">
        <is>
          <t>A Marcha sobre Roma</t>
        </is>
      </c>
      <c r="E993" s="44" t="inlineStr">
        <is>
          <t>A definir (Roma)</t>
        </is>
      </c>
      <c r="F993" s="45" t="inlineStr">
        <is>
          <t>Pendente</t>
        </is>
      </c>
      <c r="G993" s="45" t="n">
        <v>1922</v>
      </c>
      <c r="H993" s="43" t="n">
        <v>946</v>
      </c>
      <c r="I993" s="46">
        <f>IF(H993=0,DATE(2026,10,29),IF(H993=1,DATE(2026,10,30),DATE(2026,11,2)+7*INT((H993-2)/3)+CHOOSE(MOD(H993-2,3)+1,0,2,4)))</f>
        <v/>
      </c>
    </row>
    <row r="994" ht="23.85" customHeight="1" s="24">
      <c r="A994" s="43" t="n">
        <v>993</v>
      </c>
      <c r="B994" s="44" t="inlineStr">
        <is>
          <t>Fascismo e Segunda Guerra (1922–1945)</t>
        </is>
      </c>
      <c r="C994" s="45" t="inlineStr">
        <is>
          <t>1922</t>
        </is>
      </c>
      <c r="D994" s="44" t="inlineStr">
        <is>
          <t>Mussolini assume o governo</t>
        </is>
      </c>
      <c r="E994" s="44" t="inlineStr">
        <is>
          <t>Palazzo Venezia, Roma</t>
        </is>
      </c>
      <c r="F994" s="45" t="inlineStr">
        <is>
          <t>Pendente</t>
        </is>
      </c>
      <c r="G994" s="45" t="n">
        <v>1922</v>
      </c>
      <c r="H994" s="43" t="n">
        <v>947</v>
      </c>
      <c r="I994" s="46">
        <f>IF(H994=0,DATE(2026,10,29),IF(H994=1,DATE(2026,10,30),DATE(2026,11,2)+7*INT((H994-2)/3)+CHOOSE(MOD(H994-2,3)+1,0,2,4)))</f>
        <v/>
      </c>
    </row>
    <row r="995" ht="23.85" customHeight="1" s="24">
      <c r="A995" s="43" t="n">
        <v>994</v>
      </c>
      <c r="B995" s="44" t="inlineStr">
        <is>
          <t>Fascismo e Segunda Guerra (1922–1945)</t>
        </is>
      </c>
      <c r="C995" s="45" t="inlineStr">
        <is>
          <t>1924</t>
        </is>
      </c>
      <c r="D995" s="44" t="inlineStr">
        <is>
          <t>O assassinato de Matteotti</t>
        </is>
      </c>
      <c r="E995" s="44" t="inlineStr">
        <is>
          <t>Lungotevere, Roma</t>
        </is>
      </c>
      <c r="F995" s="45" t="inlineStr">
        <is>
          <t>Pendente</t>
        </is>
      </c>
      <c r="G995" s="45" t="n">
        <v>1924</v>
      </c>
      <c r="H995" s="43" t="n">
        <v>948</v>
      </c>
      <c r="I995" s="46">
        <f>IF(H995=0,DATE(2026,10,29),IF(H995=1,DATE(2026,10,30),DATE(2026,11,2)+7*INT((H995-2)/3)+CHOOSE(MOD(H995-2,3)+1,0,2,4)))</f>
        <v/>
      </c>
    </row>
    <row r="996" ht="23.85" customHeight="1" s="24">
      <c r="A996" s="43" t="n">
        <v>995</v>
      </c>
      <c r="B996" s="44" t="inlineStr">
        <is>
          <t>Fascismo e Segunda Guerra (1922–1945)</t>
        </is>
      </c>
      <c r="C996" s="45" t="inlineStr">
        <is>
          <t>1925</t>
        </is>
      </c>
      <c r="D996" s="44" t="inlineStr">
        <is>
          <t>A ditadura se consolida</t>
        </is>
      </c>
      <c r="E996" s="44" t="inlineStr">
        <is>
          <t>A definir (Roma)</t>
        </is>
      </c>
      <c r="F996" s="45" t="inlineStr">
        <is>
          <t>Pendente</t>
        </is>
      </c>
      <c r="G996" s="45" t="n">
        <v>1925</v>
      </c>
      <c r="H996" s="43" t="n">
        <v>949</v>
      </c>
      <c r="I996" s="46">
        <f>IF(H996=0,DATE(2026,10,29),IF(H996=1,DATE(2026,10,30),DATE(2026,11,2)+7*INT((H996-2)/3)+CHOOSE(MOD(H996-2,3)+1,0,2,4)))</f>
        <v/>
      </c>
    </row>
    <row r="997" ht="23.85" customHeight="1" s="24">
      <c r="A997" s="43" t="n">
        <v>996</v>
      </c>
      <c r="B997" s="44" t="inlineStr">
        <is>
          <t>Fascismo e Segunda Guerra (1922–1945)</t>
        </is>
      </c>
      <c r="C997" s="45" t="inlineStr">
        <is>
          <t>1926</t>
        </is>
      </c>
      <c r="D997" s="44" t="inlineStr">
        <is>
          <t>As leis fascistas</t>
        </is>
      </c>
      <c r="E997" s="44" t="inlineStr">
        <is>
          <t>A definir (Roma)</t>
        </is>
      </c>
      <c r="F997" s="45" t="inlineStr">
        <is>
          <t>Pendente</t>
        </is>
      </c>
      <c r="G997" s="45" t="n">
        <v>1926</v>
      </c>
      <c r="H997" s="43" t="n">
        <v>950</v>
      </c>
      <c r="I997" s="46">
        <f>IF(H997=0,DATE(2026,10,29),IF(H997=1,DATE(2026,10,30),DATE(2026,11,2)+7*INT((H997-2)/3)+CHOOSE(MOD(H997-2,3)+1,0,2,4)))</f>
        <v/>
      </c>
    </row>
    <row r="998" ht="23.85" customHeight="1" s="24">
      <c r="A998" s="43" t="n">
        <v>997</v>
      </c>
      <c r="B998" s="44" t="inlineStr">
        <is>
          <t>Fascismo e Segunda Guerra (1922–1945)</t>
        </is>
      </c>
      <c r="C998" s="45" t="inlineStr">
        <is>
          <t>1929</t>
        </is>
      </c>
      <c r="D998" s="44" t="inlineStr">
        <is>
          <t>Os Pactos de Latrão</t>
        </is>
      </c>
      <c r="E998" s="44" t="inlineStr">
        <is>
          <t>São João de Latrão, Roma</t>
        </is>
      </c>
      <c r="F998" s="45" t="inlineStr">
        <is>
          <t>Pendente</t>
        </is>
      </c>
      <c r="G998" s="45" t="n">
        <v>1929</v>
      </c>
      <c r="H998" s="43" t="n">
        <v>951</v>
      </c>
      <c r="I998" s="46">
        <f>IF(H998=0,DATE(2026,10,29),IF(H998=1,DATE(2026,10,30),DATE(2026,11,2)+7*INT((H998-2)/3)+CHOOSE(MOD(H998-2,3)+1,0,2,4)))</f>
        <v/>
      </c>
    </row>
    <row r="999" ht="23.85" customHeight="1" s="24">
      <c r="A999" s="43" t="n">
        <v>998</v>
      </c>
      <c r="B999" s="44" t="inlineStr">
        <is>
          <t>Fascismo e Segunda Guerra (1922–1945)</t>
        </is>
      </c>
      <c r="C999" s="45" t="inlineStr">
        <is>
          <t>1929</t>
        </is>
      </c>
      <c r="D999" s="44" t="inlineStr">
        <is>
          <t>O Estado da Cidade do Vaticano</t>
        </is>
      </c>
      <c r="E999" s="44" t="inlineStr">
        <is>
          <t>Vaticano, Roma</t>
        </is>
      </c>
      <c r="F999" s="45" t="inlineStr">
        <is>
          <t>Pendente</t>
        </is>
      </c>
      <c r="G999" s="45" t="n">
        <v>1929</v>
      </c>
      <c r="H999" s="43" t="n">
        <v>952</v>
      </c>
      <c r="I999" s="46">
        <f>IF(H999=0,DATE(2026,10,29),IF(H999=1,DATE(2026,10,30),DATE(2026,11,2)+7*INT((H999-2)/3)+CHOOSE(MOD(H999-2,3)+1,0,2,4)))</f>
        <v/>
      </c>
    </row>
    <row r="1000" ht="23.85" customHeight="1" s="24">
      <c r="A1000" s="43" t="n">
        <v>999</v>
      </c>
      <c r="B1000" s="44" t="inlineStr">
        <is>
          <t>Fascismo e Segunda Guerra (1922–1945)</t>
        </is>
      </c>
      <c r="C1000" s="45" t="inlineStr">
        <is>
          <t>1930</t>
        </is>
      </c>
      <c r="D1000" s="44" t="inlineStr">
        <is>
          <t>A Via dei Fori Imperiali</t>
        </is>
      </c>
      <c r="E1000" s="44" t="inlineStr">
        <is>
          <t>Via dei Fori Imperiali, Roma</t>
        </is>
      </c>
      <c r="F1000" s="45" t="inlineStr">
        <is>
          <t>Pendente</t>
        </is>
      </c>
      <c r="G1000" s="45" t="n">
        <v>1930</v>
      </c>
      <c r="H1000" s="43" t="n">
        <v>953</v>
      </c>
      <c r="I1000" s="46">
        <f>IF(H1000=0,DATE(2026,10,29),IF(H1000=1,DATE(2026,10,30),DATE(2026,11,2)+7*INT((H1000-2)/3)+CHOOSE(MOD(H1000-2,3)+1,0,2,4)))</f>
        <v/>
      </c>
    </row>
    <row r="1001" ht="23.85" customHeight="1" s="24">
      <c r="A1001" s="43" t="n">
        <v>1000</v>
      </c>
      <c r="B1001" s="44" t="inlineStr">
        <is>
          <t>Fascismo e Segunda Guerra (1922–1945)</t>
        </is>
      </c>
      <c r="C1001" s="45" t="inlineStr">
        <is>
          <t>1932</t>
        </is>
      </c>
      <c r="D1001" s="44" t="inlineStr">
        <is>
          <t>O Foro Itálico</t>
        </is>
      </c>
      <c r="E1001" s="44" t="inlineStr">
        <is>
          <t>Foro Italico, Roma</t>
        </is>
      </c>
      <c r="F1001" s="45" t="inlineStr">
        <is>
          <t>Pendente</t>
        </is>
      </c>
      <c r="G1001" s="45" t="n">
        <v>1932</v>
      </c>
      <c r="H1001" s="43" t="n">
        <v>954</v>
      </c>
      <c r="I1001" s="46">
        <f>IF(H1001=0,DATE(2026,10,29),IF(H1001=1,DATE(2026,10,30),DATE(2026,11,2)+7*INT((H1001-2)/3)+CHOOSE(MOD(H1001-2,3)+1,0,2,4)))</f>
        <v/>
      </c>
    </row>
    <row r="1002" ht="23.85" customHeight="1" s="24">
      <c r="A1002" s="43" t="n">
        <v>1001</v>
      </c>
      <c r="B1002" s="44" t="inlineStr">
        <is>
          <t>Fascismo e Segunda Guerra (1922–1945)</t>
        </is>
      </c>
      <c r="C1002" s="45" t="inlineStr">
        <is>
          <t>1933</t>
        </is>
      </c>
      <c r="D1002" s="44" t="inlineStr">
        <is>
          <t>A Cidade Universitária de Roma</t>
        </is>
      </c>
      <c r="E1002" s="44" t="inlineStr">
        <is>
          <t>La Sapienza, Roma</t>
        </is>
      </c>
      <c r="F1002" s="45" t="inlineStr">
        <is>
          <t>Pendente</t>
        </is>
      </c>
      <c r="G1002" s="45" t="n">
        <v>1933</v>
      </c>
      <c r="H1002" s="43" t="n">
        <v>955</v>
      </c>
      <c r="I1002" s="46">
        <f>IF(H1002=0,DATE(2026,10,29),IF(H1002=1,DATE(2026,10,30),DATE(2026,11,2)+7*INT((H1002-2)/3)+CHOOSE(MOD(H1002-2,3)+1,0,2,4)))</f>
        <v/>
      </c>
    </row>
    <row r="1003" ht="23.85" customHeight="1" s="24">
      <c r="A1003" s="43" t="n">
        <v>1002</v>
      </c>
      <c r="B1003" s="44" t="inlineStr">
        <is>
          <t>Fascismo e Segunda Guerra (1922–1945)</t>
        </is>
      </c>
      <c r="C1003" s="45" t="inlineStr">
        <is>
          <t>1935</t>
        </is>
      </c>
      <c r="D1003" s="44" t="inlineStr">
        <is>
          <t>A guerra da Etiópia</t>
        </is>
      </c>
      <c r="E1003" s="44" t="inlineStr">
        <is>
          <t>A definir (Roma)</t>
        </is>
      </c>
      <c r="F1003" s="45" t="inlineStr">
        <is>
          <t>Pendente</t>
        </is>
      </c>
      <c r="G1003" s="45" t="n">
        <v>1935</v>
      </c>
      <c r="H1003" s="43" t="n">
        <v>956</v>
      </c>
      <c r="I1003" s="46">
        <f>IF(H1003=0,DATE(2026,10,29),IF(H1003=1,DATE(2026,10,30),DATE(2026,11,2)+7*INT((H1003-2)/3)+CHOOSE(MOD(H1003-2,3)+1,0,2,4)))</f>
        <v/>
      </c>
    </row>
    <row r="1004" ht="23.85" customHeight="1" s="24">
      <c r="A1004" s="43" t="n">
        <v>1003</v>
      </c>
      <c r="B1004" s="44" t="inlineStr">
        <is>
          <t>Fascismo e Segunda Guerra (1922–1945)</t>
        </is>
      </c>
      <c r="C1004" s="45" t="inlineStr">
        <is>
          <t>1936</t>
        </is>
      </c>
      <c r="D1004" s="44" t="inlineStr">
        <is>
          <t>O Eixo Roma–Berlim</t>
        </is>
      </c>
      <c r="E1004" s="44" t="inlineStr">
        <is>
          <t>A definir (Roma)</t>
        </is>
      </c>
      <c r="F1004" s="45" t="inlineStr">
        <is>
          <t>Pendente</t>
        </is>
      </c>
      <c r="G1004" s="45" t="n">
        <v>1936</v>
      </c>
      <c r="H1004" s="43" t="n">
        <v>957</v>
      </c>
      <c r="I1004" s="46">
        <f>IF(H1004=0,DATE(2026,10,29),IF(H1004=1,DATE(2026,10,30),DATE(2026,11,2)+7*INT((H1004-2)/3)+CHOOSE(MOD(H1004-2,3)+1,0,2,4)))</f>
        <v/>
      </c>
    </row>
    <row r="1005" ht="23.85" customHeight="1" s="24">
      <c r="A1005" s="43" t="n">
        <v>1004</v>
      </c>
      <c r="B1005" s="44" t="inlineStr">
        <is>
          <t>Fascismo e Segunda Guerra (1922–1945)</t>
        </is>
      </c>
      <c r="C1005" s="45" t="inlineStr">
        <is>
          <t>1936</t>
        </is>
      </c>
      <c r="D1005" s="44" t="inlineStr">
        <is>
          <t>Cinecittà</t>
        </is>
      </c>
      <c r="E1005" s="44" t="inlineStr">
        <is>
          <t>Cinecittà, Roma</t>
        </is>
      </c>
      <c r="F1005" s="45" t="inlineStr">
        <is>
          <t>Pendente</t>
        </is>
      </c>
      <c r="G1005" s="45" t="n">
        <v>1936</v>
      </c>
      <c r="H1005" s="43" t="n">
        <v>958</v>
      </c>
      <c r="I1005" s="46">
        <f>IF(H1005=0,DATE(2026,10,29),IF(H1005=1,DATE(2026,10,30),DATE(2026,11,2)+7*INT((H1005-2)/3)+CHOOSE(MOD(H1005-2,3)+1,0,2,4)))</f>
        <v/>
      </c>
    </row>
    <row r="1006" ht="23.85" customHeight="1" s="24">
      <c r="A1006" s="43" t="n">
        <v>1005</v>
      </c>
      <c r="B1006" s="44" t="inlineStr">
        <is>
          <t>Fascismo e Segunda Guerra (1922–1945)</t>
        </is>
      </c>
      <c r="C1006" s="45" t="inlineStr">
        <is>
          <t>1937</t>
        </is>
      </c>
      <c r="D1006" s="44" t="inlineStr">
        <is>
          <t>A Mostra Augustea e o Mausoléu de Augusto</t>
        </is>
      </c>
      <c r="E1006" s="44" t="inlineStr">
        <is>
          <t>Mausoléu de Augusto, Roma</t>
        </is>
      </c>
      <c r="F1006" s="45" t="inlineStr">
        <is>
          <t>Pendente</t>
        </is>
      </c>
      <c r="G1006" s="45" t="n">
        <v>1937</v>
      </c>
      <c r="H1006" s="43" t="n">
        <v>959</v>
      </c>
      <c r="I1006" s="46">
        <f>IF(H1006=0,DATE(2026,10,29),IF(H1006=1,DATE(2026,10,30),DATE(2026,11,2)+7*INT((H1006-2)/3)+CHOOSE(MOD(H1006-2,3)+1,0,2,4)))</f>
        <v/>
      </c>
    </row>
    <row r="1007" ht="23.85" customHeight="1" s="24">
      <c r="A1007" s="43" t="n">
        <v>1006</v>
      </c>
      <c r="B1007" s="44" t="inlineStr">
        <is>
          <t>Fascismo e Segunda Guerra (1922–1945)</t>
        </is>
      </c>
      <c r="C1007" s="45" t="inlineStr">
        <is>
          <t>1938</t>
        </is>
      </c>
      <c r="D1007" s="44" t="inlineStr">
        <is>
          <t>As leis raciais</t>
        </is>
      </c>
      <c r="E1007" s="44" t="inlineStr">
        <is>
          <t>Gueto Judaico, Roma</t>
        </is>
      </c>
      <c r="F1007" s="45" t="inlineStr">
        <is>
          <t>Pendente</t>
        </is>
      </c>
      <c r="G1007" s="45" t="n">
        <v>1938</v>
      </c>
      <c r="H1007" s="43" t="n">
        <v>960</v>
      </c>
      <c r="I1007" s="46">
        <f>IF(H1007=0,DATE(2026,10,29),IF(H1007=1,DATE(2026,10,30),DATE(2026,11,2)+7*INT((H1007-2)/3)+CHOOSE(MOD(H1007-2,3)+1,0,2,4)))</f>
        <v/>
      </c>
    </row>
    <row r="1008" ht="23.85" customHeight="1" s="24">
      <c r="A1008" s="43" t="n">
        <v>1007</v>
      </c>
      <c r="B1008" s="44" t="inlineStr">
        <is>
          <t>Fascismo e Segunda Guerra (1922–1945)</t>
        </is>
      </c>
      <c r="C1008" s="45" t="inlineStr">
        <is>
          <t>1938</t>
        </is>
      </c>
      <c r="D1008" s="44" t="inlineStr">
        <is>
          <t>Hitler visita Roma</t>
        </is>
      </c>
      <c r="E1008" s="44" t="inlineStr">
        <is>
          <t>A definir (Roma)</t>
        </is>
      </c>
      <c r="F1008" s="45" t="inlineStr">
        <is>
          <t>Pendente</t>
        </is>
      </c>
      <c r="G1008" s="45" t="n">
        <v>1938</v>
      </c>
      <c r="H1008" s="43" t="n">
        <v>961</v>
      </c>
      <c r="I1008" s="46">
        <f>IF(H1008=0,DATE(2026,10,29),IF(H1008=1,DATE(2026,10,30),DATE(2026,11,2)+7*INT((H1008-2)/3)+CHOOSE(MOD(H1008-2,3)+1,0,2,4)))</f>
        <v/>
      </c>
    </row>
    <row r="1009" ht="23.85" customHeight="1" s="24">
      <c r="A1009" s="43" t="n">
        <v>1008</v>
      </c>
      <c r="B1009" s="44" t="inlineStr">
        <is>
          <t>Fascismo e Segunda Guerra (1922–1945)</t>
        </is>
      </c>
      <c r="C1009" s="45" t="inlineStr">
        <is>
          <t>1939</t>
        </is>
      </c>
      <c r="D1009" s="44" t="inlineStr">
        <is>
          <t>O EUR</t>
        </is>
      </c>
      <c r="E1009" s="44" t="inlineStr">
        <is>
          <t>EUR, Roma</t>
        </is>
      </c>
      <c r="F1009" s="45" t="inlineStr">
        <is>
          <t>Pendente</t>
        </is>
      </c>
      <c r="G1009" s="45" t="n">
        <v>1939</v>
      </c>
      <c r="H1009" s="43" t="n">
        <v>962</v>
      </c>
      <c r="I1009" s="46">
        <f>IF(H1009=0,DATE(2026,10,29),IF(H1009=1,DATE(2026,10,30),DATE(2026,11,2)+7*INT((H1009-2)/3)+CHOOSE(MOD(H1009-2,3)+1,0,2,4)))</f>
        <v/>
      </c>
    </row>
    <row r="1010" ht="23.85" customHeight="1" s="24">
      <c r="A1010" s="43" t="n">
        <v>1009</v>
      </c>
      <c r="B1010" s="44" t="inlineStr">
        <is>
          <t>Fascismo e Segunda Guerra (1922–1945)</t>
        </is>
      </c>
      <c r="C1010" s="45" t="inlineStr">
        <is>
          <t>1940</t>
        </is>
      </c>
      <c r="D1010" s="44" t="inlineStr">
        <is>
          <t>A Itália entra na guerra</t>
        </is>
      </c>
      <c r="E1010" s="44" t="inlineStr">
        <is>
          <t>Piazza Venezia, Roma</t>
        </is>
      </c>
      <c r="F1010" s="45" t="inlineStr">
        <is>
          <t>Pendente</t>
        </is>
      </c>
      <c r="G1010" s="45" t="n">
        <v>1940</v>
      </c>
      <c r="H1010" s="43" t="n">
        <v>963</v>
      </c>
      <c r="I1010" s="46">
        <f>IF(H1010=0,DATE(2026,10,29),IF(H1010=1,DATE(2026,10,30),DATE(2026,11,2)+7*INT((H1010-2)/3)+CHOOSE(MOD(H1010-2,3)+1,0,2,4)))</f>
        <v/>
      </c>
    </row>
    <row r="1011" ht="23.85" customHeight="1" s="24">
      <c r="A1011" s="43" t="n">
        <v>1010</v>
      </c>
      <c r="B1011" s="44" t="inlineStr">
        <is>
          <t>Fascismo e Segunda Guerra (1922–1945)</t>
        </is>
      </c>
      <c r="C1011" s="45" t="inlineStr">
        <is>
          <t>1941</t>
        </is>
      </c>
      <c r="D1011" s="44" t="inlineStr">
        <is>
          <t>A guerra na África e na Grécia</t>
        </is>
      </c>
      <c r="E1011" s="44" t="inlineStr">
        <is>
          <t>A definir (Roma)</t>
        </is>
      </c>
      <c r="F1011" s="45" t="inlineStr">
        <is>
          <t>Pendente</t>
        </is>
      </c>
      <c r="G1011" s="45" t="n">
        <v>1941</v>
      </c>
      <c r="H1011" s="43" t="n">
        <v>964</v>
      </c>
      <c r="I1011" s="46">
        <f>IF(H1011=0,DATE(2026,10,29),IF(H1011=1,DATE(2026,10,30),DATE(2026,11,2)+7*INT((H1011-2)/3)+CHOOSE(MOD(H1011-2,3)+1,0,2,4)))</f>
        <v/>
      </c>
    </row>
    <row r="1012" ht="23.85" customHeight="1" s="24">
      <c r="A1012" s="43" t="n">
        <v>1011</v>
      </c>
      <c r="B1012" s="44" t="inlineStr">
        <is>
          <t>Fascismo e Segunda Guerra (1922–1945)</t>
        </is>
      </c>
      <c r="C1012" s="45" t="inlineStr">
        <is>
          <t>1942</t>
        </is>
      </c>
      <c r="D1012" s="44" t="inlineStr">
        <is>
          <t>El Alamein</t>
        </is>
      </c>
      <c r="E1012" s="44" t="inlineStr">
        <is>
          <t>A definir (Roma)</t>
        </is>
      </c>
      <c r="F1012" s="45" t="inlineStr">
        <is>
          <t>Pendente</t>
        </is>
      </c>
      <c r="G1012" s="45" t="n">
        <v>1942</v>
      </c>
      <c r="H1012" s="43" t="n">
        <v>965</v>
      </c>
      <c r="I1012" s="46">
        <f>IF(H1012=0,DATE(2026,10,29),IF(H1012=1,DATE(2026,10,30),DATE(2026,11,2)+7*INT((H1012-2)/3)+CHOOSE(MOD(H1012-2,3)+1,0,2,4)))</f>
        <v/>
      </c>
    </row>
    <row r="1013" ht="23.85" customHeight="1" s="24">
      <c r="A1013" s="43" t="n">
        <v>1012</v>
      </c>
      <c r="B1013" s="44" t="inlineStr">
        <is>
          <t>Fascismo e Segunda Guerra (1922–1945)</t>
        </is>
      </c>
      <c r="C1013" s="45" t="inlineStr">
        <is>
          <t>1943</t>
        </is>
      </c>
      <c r="D1013" s="44" t="inlineStr">
        <is>
          <t>O desembarque na Sicília</t>
        </is>
      </c>
      <c r="E1013" s="44" t="inlineStr">
        <is>
          <t>Gela</t>
        </is>
      </c>
      <c r="F1013" s="45" t="inlineStr">
        <is>
          <t>Pendente</t>
        </is>
      </c>
      <c r="G1013" s="45" t="n">
        <v>1943</v>
      </c>
      <c r="H1013" s="43" t="n">
        <v>966</v>
      </c>
      <c r="I1013" s="46">
        <f>IF(H1013=0,DATE(2026,10,29),IF(H1013=1,DATE(2026,10,30),DATE(2026,11,2)+7*INT((H1013-2)/3)+CHOOSE(MOD(H1013-2,3)+1,0,2,4)))</f>
        <v/>
      </c>
    </row>
    <row r="1014" ht="23.85" customHeight="1" s="24">
      <c r="A1014" s="43" t="n">
        <v>1013</v>
      </c>
      <c r="B1014" s="44" t="inlineStr">
        <is>
          <t>Fascismo e Segunda Guerra (1922–1945)</t>
        </is>
      </c>
      <c r="C1014" s="45" t="inlineStr">
        <is>
          <t>1943</t>
        </is>
      </c>
      <c r="D1014" s="44" t="inlineStr">
        <is>
          <t>A queda de Mussolini</t>
        </is>
      </c>
      <c r="E1014" s="44" t="inlineStr">
        <is>
          <t>Palazzo Venezia, Roma</t>
        </is>
      </c>
      <c r="F1014" s="45" t="inlineStr">
        <is>
          <t>Pendente</t>
        </is>
      </c>
      <c r="G1014" s="45" t="n">
        <v>1943</v>
      </c>
      <c r="H1014" s="43" t="n">
        <v>967</v>
      </c>
      <c r="I1014" s="46">
        <f>IF(H1014=0,DATE(2026,10,29),IF(H1014=1,DATE(2026,10,30),DATE(2026,11,2)+7*INT((H1014-2)/3)+CHOOSE(MOD(H1014-2,3)+1,0,2,4)))</f>
        <v/>
      </c>
    </row>
    <row r="1015" ht="23.85" customHeight="1" s="24">
      <c r="A1015" s="43" t="n">
        <v>1014</v>
      </c>
      <c r="B1015" s="44" t="inlineStr">
        <is>
          <t>Fascismo e Segunda Guerra (1922–1945)</t>
        </is>
      </c>
      <c r="C1015" s="45" t="inlineStr">
        <is>
          <t>1943</t>
        </is>
      </c>
      <c r="D1015" s="44" t="inlineStr">
        <is>
          <t>O armistício de 8 de setembro</t>
        </is>
      </c>
      <c r="E1015" s="44" t="inlineStr">
        <is>
          <t>A definir (Roma)</t>
        </is>
      </c>
      <c r="F1015" s="45" t="inlineStr">
        <is>
          <t>Pendente</t>
        </is>
      </c>
      <c r="G1015" s="45" t="n">
        <v>1943</v>
      </c>
      <c r="H1015" s="43" t="n">
        <v>968</v>
      </c>
      <c r="I1015" s="46">
        <f>IF(H1015=0,DATE(2026,10,29),IF(H1015=1,DATE(2026,10,30),DATE(2026,11,2)+7*INT((H1015-2)/3)+CHOOSE(MOD(H1015-2,3)+1,0,2,4)))</f>
        <v/>
      </c>
    </row>
    <row r="1016" ht="23.85" customHeight="1" s="24">
      <c r="A1016" s="43" t="n">
        <v>1015</v>
      </c>
      <c r="B1016" s="44" t="inlineStr">
        <is>
          <t>Fascismo e Segunda Guerra (1922–1945)</t>
        </is>
      </c>
      <c r="C1016" s="45" t="inlineStr">
        <is>
          <t>1943</t>
        </is>
      </c>
      <c r="D1016" s="44" t="inlineStr">
        <is>
          <t>A Linha Gustav</t>
        </is>
      </c>
      <c r="E1016" s="44" t="inlineStr">
        <is>
          <t>Monte Cassino</t>
        </is>
      </c>
      <c r="F1016" s="45" t="inlineStr">
        <is>
          <t>Pendente</t>
        </is>
      </c>
      <c r="G1016" s="45" t="n">
        <v>1943</v>
      </c>
      <c r="H1016" s="43" t="n">
        <v>969</v>
      </c>
      <c r="I1016" s="46">
        <f>IF(H1016=0,DATE(2026,10,29),IF(H1016=1,DATE(2026,10,30),DATE(2026,11,2)+7*INT((H1016-2)/3)+CHOOSE(MOD(H1016-2,3)+1,0,2,4)))</f>
        <v/>
      </c>
    </row>
    <row r="1017" ht="23.85" customHeight="1" s="24">
      <c r="A1017" s="43" t="n">
        <v>1016</v>
      </c>
      <c r="B1017" s="44" t="inlineStr">
        <is>
          <t>Fascismo e Segunda Guerra (1922–1945)</t>
        </is>
      </c>
      <c r="C1017" s="45" t="inlineStr">
        <is>
          <t>1943</t>
        </is>
      </c>
      <c r="D1017" s="44" t="inlineStr">
        <is>
          <t>A deportação dos judeus de Roma</t>
        </is>
      </c>
      <c r="E1017" s="44" t="inlineStr">
        <is>
          <t>Gueto Judaico, Roma</t>
        </is>
      </c>
      <c r="F1017" s="45" t="inlineStr">
        <is>
          <t>Pendente</t>
        </is>
      </c>
      <c r="G1017" s="45" t="n">
        <v>1943</v>
      </c>
      <c r="H1017" s="43" t="n">
        <v>970</v>
      </c>
      <c r="I1017" s="46">
        <f>IF(H1017=0,DATE(2026,10,29),IF(H1017=1,DATE(2026,10,30),DATE(2026,11,2)+7*INT((H1017-2)/3)+CHOOSE(MOD(H1017-2,3)+1,0,2,4)))</f>
        <v/>
      </c>
    </row>
    <row r="1018" ht="23.85" customHeight="1" s="24">
      <c r="A1018" s="43" t="n">
        <v>1017</v>
      </c>
      <c r="B1018" s="44" t="inlineStr">
        <is>
          <t>Fascismo e Segunda Guerra (1922–1945)</t>
        </is>
      </c>
      <c r="C1018" s="45" t="inlineStr">
        <is>
          <t>1944</t>
        </is>
      </c>
      <c r="D1018" s="44" t="inlineStr">
        <is>
          <t>Monte Cassino</t>
        </is>
      </c>
      <c r="E1018" s="44" t="inlineStr">
        <is>
          <t>Abadia de Monte Cassino</t>
        </is>
      </c>
      <c r="F1018" s="45" t="inlineStr">
        <is>
          <t>Pendente</t>
        </is>
      </c>
      <c r="G1018" s="45" t="n">
        <v>1944</v>
      </c>
      <c r="H1018" s="43" t="n">
        <v>971</v>
      </c>
      <c r="I1018" s="46">
        <f>IF(H1018=0,DATE(2026,10,29),IF(H1018=1,DATE(2026,10,30),DATE(2026,11,2)+7*INT((H1018-2)/3)+CHOOSE(MOD(H1018-2,3)+1,0,2,4)))</f>
        <v/>
      </c>
    </row>
    <row r="1019" ht="23.85" customHeight="1" s="24">
      <c r="A1019" s="43" t="n">
        <v>1018</v>
      </c>
      <c r="B1019" s="44" t="inlineStr">
        <is>
          <t>Fascismo e Segunda Guerra (1922–1945)</t>
        </is>
      </c>
      <c r="C1019" s="45" t="inlineStr">
        <is>
          <t>1944</t>
        </is>
      </c>
      <c r="D1019" s="44" t="inlineStr">
        <is>
          <t>Anzio</t>
        </is>
      </c>
      <c r="E1019" s="44" t="inlineStr">
        <is>
          <t>Anzio</t>
        </is>
      </c>
      <c r="F1019" s="45" t="inlineStr">
        <is>
          <t>Pendente</t>
        </is>
      </c>
      <c r="G1019" s="45" t="n">
        <v>1944</v>
      </c>
      <c r="H1019" s="43" t="n">
        <v>972</v>
      </c>
      <c r="I1019" s="46">
        <f>IF(H1019=0,DATE(2026,10,29),IF(H1019=1,DATE(2026,10,30),DATE(2026,11,2)+7*INT((H1019-2)/3)+CHOOSE(MOD(H1019-2,3)+1,0,2,4)))</f>
        <v/>
      </c>
    </row>
    <row r="1020" ht="23.85" customHeight="1" s="24">
      <c r="A1020" s="43" t="n">
        <v>1019</v>
      </c>
      <c r="B1020" s="44" t="inlineStr">
        <is>
          <t>Fascismo e Segunda Guerra (1922–1945)</t>
        </is>
      </c>
      <c r="C1020" s="45" t="inlineStr">
        <is>
          <t>1944</t>
        </is>
      </c>
      <c r="D1020" s="44" t="inlineStr">
        <is>
          <t>As Fossas Ardeatinas</t>
        </is>
      </c>
      <c r="E1020" s="44" t="inlineStr">
        <is>
          <t>Mausoléu das Fossas Ardeatinas, Roma</t>
        </is>
      </c>
      <c r="F1020" s="45" t="inlineStr">
        <is>
          <t>Pendente</t>
        </is>
      </c>
      <c r="G1020" s="45" t="n">
        <v>1944</v>
      </c>
      <c r="H1020" s="43" t="n">
        <v>973</v>
      </c>
      <c r="I1020" s="46">
        <f>IF(H1020=0,DATE(2026,10,29),IF(H1020=1,DATE(2026,10,30),DATE(2026,11,2)+7*INT((H1020-2)/3)+CHOOSE(MOD(H1020-2,3)+1,0,2,4)))</f>
        <v/>
      </c>
    </row>
    <row r="1021" ht="23.85" customHeight="1" s="24">
      <c r="A1021" s="43" t="n">
        <v>1020</v>
      </c>
      <c r="B1021" s="44" t="inlineStr">
        <is>
          <t>Fascismo e Segunda Guerra (1922–1945)</t>
        </is>
      </c>
      <c r="C1021" s="45" t="inlineStr">
        <is>
          <t>1944</t>
        </is>
      </c>
      <c r="D1021" s="44" t="inlineStr">
        <is>
          <t>A libertação de Roma</t>
        </is>
      </c>
      <c r="E1021" s="44" t="inlineStr">
        <is>
          <t>A definir (Roma)</t>
        </is>
      </c>
      <c r="F1021" s="45" t="inlineStr">
        <is>
          <t>Pendente</t>
        </is>
      </c>
      <c r="G1021" s="45" t="n">
        <v>1944</v>
      </c>
      <c r="H1021" s="43" t="n">
        <v>974</v>
      </c>
      <c r="I1021" s="46">
        <f>IF(H1021=0,DATE(2026,10,29),IF(H1021=1,DATE(2026,10,30),DATE(2026,11,2)+7*INT((H1021-2)/3)+CHOOSE(MOD(H1021-2,3)+1,0,2,4)))</f>
        <v/>
      </c>
    </row>
    <row r="1022" ht="23.85" customHeight="1" s="24">
      <c r="A1022" s="43" t="n">
        <v>1021</v>
      </c>
      <c r="B1022" s="44" t="inlineStr">
        <is>
          <t>Fascismo e Segunda Guerra (1922–1945)</t>
        </is>
      </c>
      <c r="C1022" s="45" t="inlineStr">
        <is>
          <t>1944</t>
        </is>
      </c>
      <c r="D1022" s="44" t="inlineStr">
        <is>
          <t>Via Rasella</t>
        </is>
      </c>
      <c r="E1022" s="44" t="inlineStr">
        <is>
          <t>Via Rasella, Roma</t>
        </is>
      </c>
      <c r="F1022" s="45" t="inlineStr">
        <is>
          <t>Pendente</t>
        </is>
      </c>
      <c r="G1022" s="45" t="n">
        <v>1944</v>
      </c>
      <c r="H1022" s="43" t="n">
        <v>975</v>
      </c>
      <c r="I1022" s="46">
        <f>IF(H1022=0,DATE(2026,10,29),IF(H1022=1,DATE(2026,10,30),DATE(2026,11,2)+7*INT((H1022-2)/3)+CHOOSE(MOD(H1022-2,3)+1,0,2,4)))</f>
        <v/>
      </c>
    </row>
    <row r="1023" ht="23.85" customHeight="1" s="24">
      <c r="A1023" s="43" t="n">
        <v>1022</v>
      </c>
      <c r="B1023" s="44" t="inlineStr">
        <is>
          <t>Fascismo e Segunda Guerra (1922–1945)</t>
        </is>
      </c>
      <c r="C1023" s="45" t="inlineStr">
        <is>
          <t>1945</t>
        </is>
      </c>
      <c r="D1023" s="44" t="inlineStr">
        <is>
          <t>A Resistência italiana</t>
        </is>
      </c>
      <c r="E1023" s="44" t="inlineStr">
        <is>
          <t>A definir (Roma)</t>
        </is>
      </c>
      <c r="F1023" s="45" t="inlineStr">
        <is>
          <t>Pendente</t>
        </is>
      </c>
      <c r="G1023" s="45" t="n">
        <v>1945</v>
      </c>
      <c r="H1023" s="43" t="n">
        <v>976</v>
      </c>
      <c r="I1023" s="46">
        <f>IF(H1023=0,DATE(2026,10,29),IF(H1023=1,DATE(2026,10,30),DATE(2026,11,2)+7*INT((H1023-2)/3)+CHOOSE(MOD(H1023-2,3)+1,0,2,4)))</f>
        <v/>
      </c>
    </row>
    <row r="1024" ht="23.85" customHeight="1" s="24">
      <c r="A1024" s="43" t="n">
        <v>1023</v>
      </c>
      <c r="B1024" s="44" t="inlineStr">
        <is>
          <t>Fascismo e Segunda Guerra (1922–1945)</t>
        </is>
      </c>
      <c r="C1024" s="45" t="inlineStr">
        <is>
          <t>1945</t>
        </is>
      </c>
      <c r="D1024" s="44" t="inlineStr">
        <is>
          <t>A insurreição de abril</t>
        </is>
      </c>
      <c r="E1024" s="44" t="inlineStr">
        <is>
          <t>Milão</t>
        </is>
      </c>
      <c r="F1024" s="45" t="inlineStr">
        <is>
          <t>Pendente</t>
        </is>
      </c>
      <c r="G1024" s="45" t="n">
        <v>1945</v>
      </c>
      <c r="H1024" s="43" t="n">
        <v>977</v>
      </c>
      <c r="I1024" s="46">
        <f>IF(H1024=0,DATE(2026,10,29),IF(H1024=1,DATE(2026,10,30),DATE(2026,11,2)+7*INT((H1024-2)/3)+CHOOSE(MOD(H1024-2,3)+1,0,2,4)))</f>
        <v/>
      </c>
    </row>
    <row r="1025" ht="23.85" customHeight="1" s="24">
      <c r="A1025" s="43" t="n">
        <v>1024</v>
      </c>
      <c r="B1025" s="44" t="inlineStr">
        <is>
          <t>Fascismo e Segunda Guerra (1922–1945)</t>
        </is>
      </c>
      <c r="C1025" s="45" t="inlineStr">
        <is>
          <t>1945</t>
        </is>
      </c>
      <c r="D1025" s="44" t="inlineStr">
        <is>
          <t>A morte de Mussolini</t>
        </is>
      </c>
      <c r="E1025" s="44" t="inlineStr">
        <is>
          <t>Dongo</t>
        </is>
      </c>
      <c r="F1025" s="45" t="inlineStr">
        <is>
          <t>Pendente</t>
        </is>
      </c>
      <c r="G1025" s="45" t="n">
        <v>1945</v>
      </c>
      <c r="H1025" s="43" t="n">
        <v>978</v>
      </c>
      <c r="I1025" s="46">
        <f>IF(H1025=0,DATE(2026,10,29),IF(H1025=1,DATE(2026,10,30),DATE(2026,11,2)+7*INT((H1025-2)/3)+CHOOSE(MOD(H1025-2,3)+1,0,2,4)))</f>
        <v/>
      </c>
    </row>
    <row r="1026" ht="23.85" customHeight="1" s="24">
      <c r="A1026" s="43" t="n">
        <v>1025</v>
      </c>
      <c r="B1026" s="44" t="inlineStr">
        <is>
          <t>Fascismo e Segunda Guerra (1922–1945)</t>
        </is>
      </c>
      <c r="C1026" s="45" t="inlineStr">
        <is>
          <t>1945</t>
        </is>
      </c>
      <c r="D1026" s="44" t="inlineStr">
        <is>
          <t>O fim da guerra na Itália</t>
        </is>
      </c>
      <c r="E1026" s="44" t="inlineStr">
        <is>
          <t>A definir (Roma)</t>
        </is>
      </c>
      <c r="F1026" s="45" t="inlineStr">
        <is>
          <t>Pendente</t>
        </is>
      </c>
      <c r="G1026" s="45" t="n">
        <v>1945</v>
      </c>
      <c r="H1026" s="43" t="n">
        <v>979</v>
      </c>
      <c r="I1026" s="46">
        <f>IF(H1026=0,DATE(2026,10,29),IF(H1026=1,DATE(2026,10,30),DATE(2026,11,2)+7*INT((H1026-2)/3)+CHOOSE(MOD(H1026-2,3)+1,0,2,4)))</f>
        <v/>
      </c>
    </row>
    <row r="1027" ht="23.85" customHeight="1" s="24">
      <c r="A1027" s="43" t="n">
        <v>1026</v>
      </c>
      <c r="B1027" s="44" t="inlineStr">
        <is>
          <t>República Italiana: da reconstrução a hoje (1946–hoje)</t>
        </is>
      </c>
      <c r="C1027" s="45" t="inlineStr">
        <is>
          <t>1946</t>
        </is>
      </c>
      <c r="D1027" s="44" t="inlineStr">
        <is>
          <t>O referendo da República</t>
        </is>
      </c>
      <c r="E1027" s="44" t="inlineStr">
        <is>
          <t>A definir (Roma)</t>
        </is>
      </c>
      <c r="F1027" s="45" t="inlineStr">
        <is>
          <t>Pendente</t>
        </is>
      </c>
      <c r="G1027" s="45" t="n">
        <v>1946</v>
      </c>
      <c r="H1027" s="43" t="n">
        <v>980</v>
      </c>
      <c r="I1027" s="46">
        <f>IF(H1027=0,DATE(2026,10,29),IF(H1027=1,DATE(2026,10,30),DATE(2026,11,2)+7*INT((H1027-2)/3)+CHOOSE(MOD(H1027-2,3)+1,0,2,4)))</f>
        <v/>
      </c>
    </row>
    <row r="1028" ht="23.85" customHeight="1" s="24">
      <c r="A1028" s="43" t="n">
        <v>1027</v>
      </c>
      <c r="B1028" s="44" t="inlineStr">
        <is>
          <t>República Italiana: da reconstrução a hoje (1946–hoje)</t>
        </is>
      </c>
      <c r="C1028" s="45" t="inlineStr">
        <is>
          <t>1946</t>
        </is>
      </c>
      <c r="D1028" s="44" t="inlineStr">
        <is>
          <t>O voto das mulheres</t>
        </is>
      </c>
      <c r="E1028" s="44" t="inlineStr">
        <is>
          <t>A definir (Roma)</t>
        </is>
      </c>
      <c r="F1028" s="45" t="inlineStr">
        <is>
          <t>Pendente</t>
        </is>
      </c>
      <c r="G1028" s="45" t="n">
        <v>1946</v>
      </c>
      <c r="H1028" s="43" t="n">
        <v>981</v>
      </c>
      <c r="I1028" s="46">
        <f>IF(H1028=0,DATE(2026,10,29),IF(H1028=1,DATE(2026,10,30),DATE(2026,11,2)+7*INT((H1028-2)/3)+CHOOSE(MOD(H1028-2,3)+1,0,2,4)))</f>
        <v/>
      </c>
    </row>
    <row r="1029" ht="23.85" customHeight="1" s="24">
      <c r="A1029" s="43" t="n">
        <v>1028</v>
      </c>
      <c r="B1029" s="44" t="inlineStr">
        <is>
          <t>República Italiana: da reconstrução a hoje (1946–hoje)</t>
        </is>
      </c>
      <c r="C1029" s="45" t="inlineStr">
        <is>
          <t>1946</t>
        </is>
      </c>
      <c r="D1029" s="44" t="inlineStr">
        <is>
          <t>Umberto II parte para o exílio</t>
        </is>
      </c>
      <c r="E1029" s="44" t="inlineStr">
        <is>
          <t>A definir (Roma)</t>
        </is>
      </c>
      <c r="F1029" s="45" t="inlineStr">
        <is>
          <t>Pendente</t>
        </is>
      </c>
      <c r="G1029" s="45" t="n">
        <v>1946</v>
      </c>
      <c r="H1029" s="43" t="n">
        <v>982</v>
      </c>
      <c r="I1029" s="46">
        <f>IF(H1029=0,DATE(2026,10,29),IF(H1029=1,DATE(2026,10,30),DATE(2026,11,2)+7*INT((H1029-2)/3)+CHOOSE(MOD(H1029-2,3)+1,0,2,4)))</f>
        <v/>
      </c>
    </row>
    <row r="1030" ht="23.85" customHeight="1" s="24">
      <c r="A1030" s="43" t="n">
        <v>1029</v>
      </c>
      <c r="B1030" s="44" t="inlineStr">
        <is>
          <t>República Italiana: da reconstrução a hoje (1946–hoje)</t>
        </is>
      </c>
      <c r="C1030" s="45" t="inlineStr">
        <is>
          <t>1947</t>
        </is>
      </c>
      <c r="D1030" s="44" t="inlineStr">
        <is>
          <t>A Constituição italiana</t>
        </is>
      </c>
      <c r="E1030" s="44" t="inlineStr">
        <is>
          <t>Palazzo Montecitorio, Roma</t>
        </is>
      </c>
      <c r="F1030" s="45" t="inlineStr">
        <is>
          <t>Pendente</t>
        </is>
      </c>
      <c r="G1030" s="45" t="n">
        <v>1947</v>
      </c>
      <c r="H1030" s="43" t="n">
        <v>983</v>
      </c>
      <c r="I1030" s="46">
        <f>IF(H1030=0,DATE(2026,10,29),IF(H1030=1,DATE(2026,10,30),DATE(2026,11,2)+7*INT((H1030-2)/3)+CHOOSE(MOD(H1030-2,3)+1,0,2,4)))</f>
        <v/>
      </c>
    </row>
    <row r="1031" ht="23.85" customHeight="1" s="24">
      <c r="A1031" s="43" t="n">
        <v>1030</v>
      </c>
      <c r="B1031" s="44" t="inlineStr">
        <is>
          <t>República Italiana: da reconstrução a hoje (1946–hoje)</t>
        </is>
      </c>
      <c r="C1031" s="45" t="inlineStr">
        <is>
          <t>1948</t>
        </is>
      </c>
      <c r="D1031" s="44" t="inlineStr">
        <is>
          <t>As primeiras eleições</t>
        </is>
      </c>
      <c r="E1031" s="44" t="inlineStr">
        <is>
          <t>A definir (Roma)</t>
        </is>
      </c>
      <c r="F1031" s="45" t="inlineStr">
        <is>
          <t>Pendente</t>
        </is>
      </c>
      <c r="G1031" s="45" t="n">
        <v>1948</v>
      </c>
      <c r="H1031" s="43" t="n">
        <v>984</v>
      </c>
      <c r="I1031" s="46">
        <f>IF(H1031=0,DATE(2026,10,29),IF(H1031=1,DATE(2026,10,30),DATE(2026,11,2)+7*INT((H1031-2)/3)+CHOOSE(MOD(H1031-2,3)+1,0,2,4)))</f>
        <v/>
      </c>
    </row>
    <row r="1032" ht="23.85" customHeight="1" s="24">
      <c r="A1032" s="43" t="n">
        <v>1031</v>
      </c>
      <c r="B1032" s="44" t="inlineStr">
        <is>
          <t>República Italiana: da reconstrução a hoje (1946–hoje)</t>
        </is>
      </c>
      <c r="C1032" s="45" t="inlineStr">
        <is>
          <t>1948</t>
        </is>
      </c>
      <c r="D1032" s="44" t="inlineStr">
        <is>
          <t>A Itália e o Plano Marshall</t>
        </is>
      </c>
      <c r="E1032" s="44" t="inlineStr">
        <is>
          <t>A definir (Roma)</t>
        </is>
      </c>
      <c r="F1032" s="45" t="inlineStr">
        <is>
          <t>Pendente</t>
        </is>
      </c>
      <c r="G1032" s="45" t="n">
        <v>1948</v>
      </c>
      <c r="H1032" s="43" t="n">
        <v>985</v>
      </c>
      <c r="I1032" s="46">
        <f>IF(H1032=0,DATE(2026,10,29),IF(H1032=1,DATE(2026,10,30),DATE(2026,11,2)+7*INT((H1032-2)/3)+CHOOSE(MOD(H1032-2,3)+1,0,2,4)))</f>
        <v/>
      </c>
    </row>
    <row r="1033" ht="23.85" customHeight="1" s="24">
      <c r="A1033" s="43" t="n">
        <v>1032</v>
      </c>
      <c r="B1033" s="44" t="inlineStr">
        <is>
          <t>República Italiana: da reconstrução a hoje (1946–hoje)</t>
        </is>
      </c>
      <c r="C1033" s="45" t="inlineStr">
        <is>
          <t>1949</t>
        </is>
      </c>
      <c r="D1033" s="44" t="inlineStr">
        <is>
          <t>A Itália entra na OTAN</t>
        </is>
      </c>
      <c r="E1033" s="44" t="inlineStr">
        <is>
          <t>A definir (Roma)</t>
        </is>
      </c>
      <c r="F1033" s="45" t="inlineStr">
        <is>
          <t>Pendente</t>
        </is>
      </c>
      <c r="G1033" s="45" t="n">
        <v>1949</v>
      </c>
      <c r="H1033" s="43" t="n">
        <v>986</v>
      </c>
      <c r="I1033" s="46">
        <f>IF(H1033=0,DATE(2026,10,29),IF(H1033=1,DATE(2026,10,30),DATE(2026,11,2)+7*INT((H1033-2)/3)+CHOOSE(MOD(H1033-2,3)+1,0,2,4)))</f>
        <v/>
      </c>
    </row>
    <row r="1034" ht="23.85" customHeight="1" s="24">
      <c r="A1034" s="43" t="n">
        <v>1033</v>
      </c>
      <c r="B1034" s="44" t="inlineStr">
        <is>
          <t>República Italiana: da reconstrução a hoje (1946–hoje)</t>
        </is>
      </c>
      <c r="C1034" s="45" t="inlineStr">
        <is>
          <t>1950</t>
        </is>
      </c>
      <c r="D1034" s="44" t="inlineStr">
        <is>
          <t>O Ano Santo de 1950</t>
        </is>
      </c>
      <c r="E1034" s="44" t="inlineStr">
        <is>
          <t>Basílica de São Pedro, Roma</t>
        </is>
      </c>
      <c r="F1034" s="45" t="inlineStr">
        <is>
          <t>Pendente</t>
        </is>
      </c>
      <c r="G1034" s="45" t="n">
        <v>1950</v>
      </c>
      <c r="H1034" s="43" t="n">
        <v>987</v>
      </c>
      <c r="I1034" s="46">
        <f>IF(H1034=0,DATE(2026,10,29),IF(H1034=1,DATE(2026,10,30),DATE(2026,11,2)+7*INT((H1034-2)/3)+CHOOSE(MOD(H1034-2,3)+1,0,2,4)))</f>
        <v/>
      </c>
    </row>
    <row r="1035" ht="23.85" customHeight="1" s="24">
      <c r="A1035" s="43" t="n">
        <v>1034</v>
      </c>
      <c r="B1035" s="44" t="inlineStr">
        <is>
          <t>República Italiana: da reconstrução a hoje (1946–hoje)</t>
        </is>
      </c>
      <c r="C1035" s="45" t="inlineStr">
        <is>
          <t>1951</t>
        </is>
      </c>
      <c r="D1035" s="44" t="inlineStr">
        <is>
          <t>A Cinecittà e o neorrealismo</t>
        </is>
      </c>
      <c r="E1035" s="44" t="inlineStr">
        <is>
          <t>Cinecittà, Roma</t>
        </is>
      </c>
      <c r="F1035" s="45" t="inlineStr">
        <is>
          <t>Pendente</t>
        </is>
      </c>
      <c r="G1035" s="45" t="n">
        <v>1951</v>
      </c>
      <c r="H1035" s="43" t="n">
        <v>988</v>
      </c>
      <c r="I1035" s="46">
        <f>IF(H1035=0,DATE(2026,10,29),IF(H1035=1,DATE(2026,10,30),DATE(2026,11,2)+7*INT((H1035-2)/3)+CHOOSE(MOD(H1035-2,3)+1,0,2,4)))</f>
        <v/>
      </c>
    </row>
    <row r="1036" ht="23.85" customHeight="1" s="24">
      <c r="A1036" s="43" t="n">
        <v>1035</v>
      </c>
      <c r="B1036" s="44" t="inlineStr">
        <is>
          <t>República Italiana: da reconstrução a hoje (1946–hoje)</t>
        </is>
      </c>
      <c r="C1036" s="45" t="inlineStr">
        <is>
          <t>1953</t>
        </is>
      </c>
      <c r="D1036" s="44" t="inlineStr">
        <is>
          <t>A Dolce Vita começa</t>
        </is>
      </c>
      <c r="E1036" s="44" t="inlineStr">
        <is>
          <t>Via Veneto, Roma</t>
        </is>
      </c>
      <c r="F1036" s="45" t="inlineStr">
        <is>
          <t>Pendente</t>
        </is>
      </c>
      <c r="G1036" s="45" t="n">
        <v>1953</v>
      </c>
      <c r="H1036" s="43" t="n">
        <v>989</v>
      </c>
      <c r="I1036" s="46">
        <f>IF(H1036=0,DATE(2026,10,29),IF(H1036=1,DATE(2026,10,30),DATE(2026,11,2)+7*INT((H1036-2)/3)+CHOOSE(MOD(H1036-2,3)+1,0,2,4)))</f>
        <v/>
      </c>
    </row>
    <row r="1037" ht="23.85" customHeight="1" s="24">
      <c r="A1037" s="43" t="n">
        <v>1036</v>
      </c>
      <c r="B1037" s="44" t="inlineStr">
        <is>
          <t>República Italiana: da reconstrução a hoje (1946–hoje)</t>
        </is>
      </c>
      <c r="C1037" s="45" t="inlineStr">
        <is>
          <t>1954</t>
        </is>
      </c>
      <c r="D1037" s="44" t="inlineStr">
        <is>
          <t>A Vespa e a mobilidade italiana</t>
        </is>
      </c>
      <c r="E1037" s="44" t="inlineStr">
        <is>
          <t>A definir (Roma)</t>
        </is>
      </c>
      <c r="F1037" s="45" t="inlineStr">
        <is>
          <t>Pendente</t>
        </is>
      </c>
      <c r="G1037" s="45" t="n">
        <v>1954</v>
      </c>
      <c r="H1037" s="43" t="n">
        <v>990</v>
      </c>
      <c r="I1037" s="46">
        <f>IF(H1037=0,DATE(2026,10,29),IF(H1037=1,DATE(2026,10,30),DATE(2026,11,2)+7*INT((H1037-2)/3)+CHOOSE(MOD(H1037-2,3)+1,0,2,4)))</f>
        <v/>
      </c>
    </row>
    <row r="1038" ht="23.85" customHeight="1" s="24">
      <c r="A1038" s="43" t="n">
        <v>1037</v>
      </c>
      <c r="B1038" s="44" t="inlineStr">
        <is>
          <t>República Italiana: da reconstrução a hoje (1946–hoje)</t>
        </is>
      </c>
      <c r="C1038" s="45" t="inlineStr">
        <is>
          <t>1957</t>
        </is>
      </c>
      <c r="D1038" s="44" t="inlineStr">
        <is>
          <t>O Tratado de Roma</t>
        </is>
      </c>
      <c r="E1038" s="44" t="inlineStr">
        <is>
          <t>Campidoglio, Roma</t>
        </is>
      </c>
      <c r="F1038" s="45" t="inlineStr">
        <is>
          <t>Pendente</t>
        </is>
      </c>
      <c r="G1038" s="45" t="n">
        <v>1957</v>
      </c>
      <c r="H1038" s="43" t="n">
        <v>991</v>
      </c>
      <c r="I1038" s="46">
        <f>IF(H1038=0,DATE(2026,10,29),IF(H1038=1,DATE(2026,10,30),DATE(2026,11,2)+7*INT((H1038-2)/3)+CHOOSE(MOD(H1038-2,3)+1,0,2,4)))</f>
        <v/>
      </c>
    </row>
    <row r="1039" ht="23.85" customHeight="1" s="24">
      <c r="A1039" s="43" t="n">
        <v>1038</v>
      </c>
      <c r="B1039" s="44" t="inlineStr">
        <is>
          <t>República Italiana: da reconstrução a hoje (1946–hoje)</t>
        </is>
      </c>
      <c r="C1039" s="45" t="inlineStr">
        <is>
          <t>1958</t>
        </is>
      </c>
      <c r="D1039" s="44" t="inlineStr">
        <is>
          <t>João XXIII</t>
        </is>
      </c>
      <c r="E1039" s="44" t="inlineStr">
        <is>
          <t>Basílica de São Pedro, Vaticano</t>
        </is>
      </c>
      <c r="F1039" s="45" t="inlineStr">
        <is>
          <t>Pendente</t>
        </is>
      </c>
      <c r="G1039" s="45" t="n">
        <v>1958</v>
      </c>
      <c r="H1039" s="43" t="n">
        <v>992</v>
      </c>
      <c r="I1039" s="46">
        <f>IF(H1039=0,DATE(2026,10,29),IF(H1039=1,DATE(2026,10,30),DATE(2026,11,2)+7*INT((H1039-2)/3)+CHOOSE(MOD(H1039-2,3)+1,0,2,4)))</f>
        <v/>
      </c>
    </row>
    <row r="1040" ht="23.85" customHeight="1" s="24">
      <c r="A1040" s="43" t="n">
        <v>1039</v>
      </c>
      <c r="B1040" s="44" t="inlineStr">
        <is>
          <t>República Italiana: da reconstrução a hoje (1946–hoje)</t>
        </is>
      </c>
      <c r="C1040" s="45" t="inlineStr">
        <is>
          <t>1960</t>
        </is>
      </c>
      <c r="D1040" s="44" t="inlineStr">
        <is>
          <t>As Olimpíadas de Roma</t>
        </is>
      </c>
      <c r="E1040" s="44" t="inlineStr">
        <is>
          <t>Estádio Olímpico, Roma</t>
        </is>
      </c>
      <c r="F1040" s="45" t="inlineStr">
        <is>
          <t>Pendente</t>
        </is>
      </c>
      <c r="G1040" s="45" t="n">
        <v>1960</v>
      </c>
      <c r="H1040" s="43" t="n">
        <v>993</v>
      </c>
      <c r="I1040" s="46">
        <f>IF(H1040=0,DATE(2026,10,29),IF(H1040=1,DATE(2026,10,30),DATE(2026,11,2)+7*INT((H1040-2)/3)+CHOOSE(MOD(H1040-2,3)+1,0,2,4)))</f>
        <v/>
      </c>
    </row>
    <row r="1041" ht="23.85" customHeight="1" s="24">
      <c r="A1041" s="43" t="n">
        <v>1040</v>
      </c>
      <c r="B1041" s="44" t="inlineStr">
        <is>
          <t>República Italiana: da reconstrução a hoje (1946–hoje)</t>
        </is>
      </c>
      <c r="C1041" s="45" t="inlineStr">
        <is>
          <t>1960</t>
        </is>
      </c>
      <c r="D1041" s="44" t="inlineStr">
        <is>
          <t>A Dolce Vita de Fellini</t>
        </is>
      </c>
      <c r="E1041" s="44" t="inlineStr">
        <is>
          <t>Fontana di Trevi, Roma</t>
        </is>
      </c>
      <c r="F1041" s="45" t="inlineStr">
        <is>
          <t>Pendente</t>
        </is>
      </c>
      <c r="G1041" s="45" t="n">
        <v>1960</v>
      </c>
      <c r="H1041" s="43" t="n">
        <v>994</v>
      </c>
      <c r="I1041" s="46">
        <f>IF(H1041=0,DATE(2026,10,29),IF(H1041=1,DATE(2026,10,30),DATE(2026,11,2)+7*INT((H1041-2)/3)+CHOOSE(MOD(H1041-2,3)+1,0,2,4)))</f>
        <v/>
      </c>
    </row>
    <row r="1042" ht="23.85" customHeight="1" s="24">
      <c r="A1042" s="43" t="n">
        <v>1041</v>
      </c>
      <c r="B1042" s="44" t="inlineStr">
        <is>
          <t>República Italiana: da reconstrução a hoje (1946–hoje)</t>
        </is>
      </c>
      <c r="C1042" s="45" t="inlineStr">
        <is>
          <t>1962</t>
        </is>
      </c>
      <c r="D1042" s="44" t="inlineStr">
        <is>
          <t>O Concílio Vaticano II</t>
        </is>
      </c>
      <c r="E1042" s="44" t="inlineStr">
        <is>
          <t>Basílica de São Pedro, Vaticano</t>
        </is>
      </c>
      <c r="F1042" s="45" t="inlineStr">
        <is>
          <t>Pendente</t>
        </is>
      </c>
      <c r="G1042" s="45" t="n">
        <v>1962</v>
      </c>
      <c r="H1042" s="43" t="n">
        <v>995</v>
      </c>
      <c r="I1042" s="46">
        <f>IF(H1042=0,DATE(2026,10,29),IF(H1042=1,DATE(2026,10,30),DATE(2026,11,2)+7*INT((H1042-2)/3)+CHOOSE(MOD(H1042-2,3)+1,0,2,4)))</f>
        <v/>
      </c>
    </row>
    <row r="1043" ht="23.85" customHeight="1" s="24">
      <c r="A1043" s="43" t="n">
        <v>1042</v>
      </c>
      <c r="B1043" s="44" t="inlineStr">
        <is>
          <t>República Italiana: da reconstrução a hoje (1946–hoje)</t>
        </is>
      </c>
      <c r="C1043" s="45" t="inlineStr">
        <is>
          <t>1963</t>
        </is>
      </c>
      <c r="D1043" s="44" t="inlineStr">
        <is>
          <t>A tragédia do Vajont</t>
        </is>
      </c>
      <c r="E1043" s="44" t="inlineStr">
        <is>
          <t>Vajont</t>
        </is>
      </c>
      <c r="F1043" s="45" t="inlineStr">
        <is>
          <t>Pendente</t>
        </is>
      </c>
      <c r="G1043" s="45" t="n">
        <v>1963</v>
      </c>
      <c r="H1043" s="43" t="n">
        <v>996</v>
      </c>
      <c r="I1043" s="46">
        <f>IF(H1043=0,DATE(2026,10,29),IF(H1043=1,DATE(2026,10,30),DATE(2026,11,2)+7*INT((H1043-2)/3)+CHOOSE(MOD(H1043-2,3)+1,0,2,4)))</f>
        <v/>
      </c>
    </row>
    <row r="1044" ht="23.85" customHeight="1" s="24">
      <c r="A1044" s="43" t="n">
        <v>1043</v>
      </c>
      <c r="B1044" s="44" t="inlineStr">
        <is>
          <t>República Italiana: da reconstrução a hoje (1946–hoje)</t>
        </is>
      </c>
      <c r="C1044" s="45" t="inlineStr">
        <is>
          <t>1966</t>
        </is>
      </c>
      <c r="D1044" s="44" t="inlineStr">
        <is>
          <t>A enchente de Florença</t>
        </is>
      </c>
      <c r="E1044" s="44" t="inlineStr">
        <is>
          <t>Florença</t>
        </is>
      </c>
      <c r="F1044" s="45" t="inlineStr">
        <is>
          <t>Pendente</t>
        </is>
      </c>
      <c r="G1044" s="45" t="n">
        <v>1966</v>
      </c>
      <c r="H1044" s="43" t="n">
        <v>997</v>
      </c>
      <c r="I1044" s="46">
        <f>IF(H1044=0,DATE(2026,10,29),IF(H1044=1,DATE(2026,10,30),DATE(2026,11,2)+7*INT((H1044-2)/3)+CHOOSE(MOD(H1044-2,3)+1,0,2,4)))</f>
        <v/>
      </c>
    </row>
    <row r="1045" ht="23.85" customHeight="1" s="24">
      <c r="A1045" s="43" t="n">
        <v>1044</v>
      </c>
      <c r="B1045" s="44" t="inlineStr">
        <is>
          <t>República Italiana: da reconstrução a hoje (1946–hoje)</t>
        </is>
      </c>
      <c r="C1045" s="45" t="inlineStr">
        <is>
          <t>1968</t>
        </is>
      </c>
      <c r="D1045" s="44" t="inlineStr">
        <is>
          <t>Os protestos estudantis</t>
        </is>
      </c>
      <c r="E1045" s="44" t="inlineStr">
        <is>
          <t>A definir (Roma)</t>
        </is>
      </c>
      <c r="F1045" s="45" t="inlineStr">
        <is>
          <t>Pendente</t>
        </is>
      </c>
      <c r="G1045" s="45" t="n">
        <v>1968</v>
      </c>
      <c r="H1045" s="43" t="n">
        <v>998</v>
      </c>
      <c r="I1045" s="46">
        <f>IF(H1045=0,DATE(2026,10,29),IF(H1045=1,DATE(2026,10,30),DATE(2026,11,2)+7*INT((H1045-2)/3)+CHOOSE(MOD(H1045-2,3)+1,0,2,4)))</f>
        <v/>
      </c>
    </row>
    <row r="1046" ht="23.85" customHeight="1" s="24">
      <c r="A1046" s="43" t="n">
        <v>1045</v>
      </c>
      <c r="B1046" s="44" t="inlineStr">
        <is>
          <t>República Italiana: da reconstrução a hoje (1946–hoje)</t>
        </is>
      </c>
      <c r="C1046" s="45" t="inlineStr">
        <is>
          <t>1969</t>
        </is>
      </c>
      <c r="D1046" s="44" t="inlineStr">
        <is>
          <t>O outono quente e Piazza Fontana</t>
        </is>
      </c>
      <c r="E1046" s="44" t="inlineStr">
        <is>
          <t>Milão</t>
        </is>
      </c>
      <c r="F1046" s="45" t="inlineStr">
        <is>
          <t>Pendente</t>
        </is>
      </c>
      <c r="G1046" s="45" t="n">
        <v>1969</v>
      </c>
      <c r="H1046" s="43" t="n">
        <v>999</v>
      </c>
      <c r="I1046" s="46">
        <f>IF(H1046=0,DATE(2026,10,29),IF(H1046=1,DATE(2026,10,30),DATE(2026,11,2)+7*INT((H1046-2)/3)+CHOOSE(MOD(H1046-2,3)+1,0,2,4)))</f>
        <v/>
      </c>
    </row>
    <row r="1047" ht="23.85" customHeight="1" s="24">
      <c r="A1047" s="43" t="n">
        <v>1046</v>
      </c>
      <c r="B1047" s="44" t="inlineStr">
        <is>
          <t>República Italiana: da reconstrução a hoje (1946–hoje)</t>
        </is>
      </c>
      <c r="C1047" s="45" t="inlineStr">
        <is>
          <t>1970</t>
        </is>
      </c>
      <c r="D1047" s="44" t="inlineStr">
        <is>
          <t>As regiões italianas</t>
        </is>
      </c>
      <c r="E1047" s="44" t="inlineStr">
        <is>
          <t>A definir (Roma)</t>
        </is>
      </c>
      <c r="F1047" s="45" t="inlineStr">
        <is>
          <t>Pendente</t>
        </is>
      </c>
      <c r="G1047" s="45" t="n">
        <v>1970</v>
      </c>
      <c r="H1047" s="43" t="n">
        <v>1000</v>
      </c>
      <c r="I1047" s="46">
        <f>IF(H1047=0,DATE(2026,10,29),IF(H1047=1,DATE(2026,10,30),DATE(2026,11,2)+7*INT((H1047-2)/3)+CHOOSE(MOD(H1047-2,3)+1,0,2,4)))</f>
        <v/>
      </c>
    </row>
    <row r="1048" ht="23.85" customHeight="1" s="24">
      <c r="A1048" s="43" t="n">
        <v>1047</v>
      </c>
      <c r="B1048" s="44" t="inlineStr">
        <is>
          <t>República Italiana: da reconstrução a hoje (1946–hoje)</t>
        </is>
      </c>
      <c r="C1048" s="45" t="inlineStr">
        <is>
          <t>1970</t>
        </is>
      </c>
      <c r="D1048" s="44" t="inlineStr">
        <is>
          <t>Os anos de chumbo</t>
        </is>
      </c>
      <c r="E1048" s="44" t="inlineStr">
        <is>
          <t>A definir (Roma)</t>
        </is>
      </c>
      <c r="F1048" s="45" t="inlineStr">
        <is>
          <t>Pendente</t>
        </is>
      </c>
      <c r="G1048" s="45" t="n">
        <v>1970</v>
      </c>
      <c r="H1048" s="43" t="n">
        <v>1001</v>
      </c>
      <c r="I1048" s="46">
        <f>IF(H1048=0,DATE(2026,10,29),IF(H1048=1,DATE(2026,10,30),DATE(2026,11,2)+7*INT((H1048-2)/3)+CHOOSE(MOD(H1048-2,3)+1,0,2,4)))</f>
        <v/>
      </c>
    </row>
    <row r="1049" ht="23.85" customHeight="1" s="24">
      <c r="A1049" s="43" t="n">
        <v>1048</v>
      </c>
      <c r="B1049" s="44" t="inlineStr">
        <is>
          <t>República Italiana: da reconstrução a hoje (1946–hoje)</t>
        </is>
      </c>
      <c r="C1049" s="45" t="inlineStr">
        <is>
          <t>1978</t>
        </is>
      </c>
      <c r="D1049" s="44" t="inlineStr">
        <is>
          <t>O sequestro de Aldo Moro</t>
        </is>
      </c>
      <c r="E1049" s="44" t="inlineStr">
        <is>
          <t>Via Fani, Roma</t>
        </is>
      </c>
      <c r="F1049" s="45" t="inlineStr">
        <is>
          <t>Pendente</t>
        </is>
      </c>
      <c r="G1049" s="45" t="n">
        <v>1978</v>
      </c>
      <c r="H1049" s="43" t="n">
        <v>1002</v>
      </c>
      <c r="I1049" s="46">
        <f>IF(H1049=0,DATE(2026,10,29),IF(H1049=1,DATE(2026,10,30),DATE(2026,11,2)+7*INT((H1049-2)/3)+CHOOSE(MOD(H1049-2,3)+1,0,2,4)))</f>
        <v/>
      </c>
    </row>
    <row r="1050" ht="23.85" customHeight="1" s="24">
      <c r="A1050" s="43" t="n">
        <v>1049</v>
      </c>
      <c r="B1050" s="44" t="inlineStr">
        <is>
          <t>República Italiana: da reconstrução a hoje (1946–hoje)</t>
        </is>
      </c>
      <c r="C1050" s="45" t="inlineStr">
        <is>
          <t>1978</t>
        </is>
      </c>
      <c r="D1050" s="44" t="inlineStr">
        <is>
          <t>O ano dos três papas</t>
        </is>
      </c>
      <c r="E1050" s="44" t="inlineStr">
        <is>
          <t>Vaticano, Roma</t>
        </is>
      </c>
      <c r="F1050" s="45" t="inlineStr">
        <is>
          <t>Pendente</t>
        </is>
      </c>
      <c r="G1050" s="45" t="n">
        <v>1978</v>
      </c>
      <c r="H1050" s="43" t="n">
        <v>1003</v>
      </c>
      <c r="I1050" s="46">
        <f>IF(H1050=0,DATE(2026,10,29),IF(H1050=1,DATE(2026,10,30),DATE(2026,11,2)+7*INT((H1050-2)/3)+CHOOSE(MOD(H1050-2,3)+1,0,2,4)))</f>
        <v/>
      </c>
    </row>
    <row r="1051" ht="23.85" customHeight="1" s="24">
      <c r="A1051" s="43" t="n">
        <v>1050</v>
      </c>
      <c r="B1051" s="44" t="inlineStr">
        <is>
          <t>República Italiana: da reconstrução a hoje (1946–hoje)</t>
        </is>
      </c>
      <c r="C1051" s="45" t="inlineStr">
        <is>
          <t>1980</t>
        </is>
      </c>
      <c r="D1051" s="44" t="inlineStr">
        <is>
          <t>O massacre de Bolonha</t>
        </is>
      </c>
      <c r="E1051" s="44" t="inlineStr">
        <is>
          <t>Estação de Bolonha</t>
        </is>
      </c>
      <c r="F1051" s="45" t="inlineStr">
        <is>
          <t>Pendente</t>
        </is>
      </c>
      <c r="G1051" s="45" t="n">
        <v>1980</v>
      </c>
      <c r="H1051" s="43" t="n">
        <v>1004</v>
      </c>
      <c r="I1051" s="46">
        <f>IF(H1051=0,DATE(2026,10,29),IF(H1051=1,DATE(2026,10,30),DATE(2026,11,2)+7*INT((H1051-2)/3)+CHOOSE(MOD(H1051-2,3)+1,0,2,4)))</f>
        <v/>
      </c>
    </row>
    <row r="1052" ht="23.85" customHeight="1" s="24">
      <c r="A1052" s="43" t="n">
        <v>1051</v>
      </c>
      <c r="B1052" s="44" t="inlineStr">
        <is>
          <t>República Italiana: da reconstrução a hoje (1946–hoje)</t>
        </is>
      </c>
      <c r="C1052" s="45" t="inlineStr">
        <is>
          <t>1981</t>
        </is>
      </c>
      <c r="D1052" s="44" t="inlineStr">
        <is>
          <t>O atentado contra João Paulo II</t>
        </is>
      </c>
      <c r="E1052" s="44" t="inlineStr">
        <is>
          <t>Praça de São Pedro, Roma</t>
        </is>
      </c>
      <c r="F1052" s="45" t="inlineStr">
        <is>
          <t>Pendente</t>
        </is>
      </c>
      <c r="G1052" s="45" t="n">
        <v>1981</v>
      </c>
      <c r="H1052" s="43" t="n">
        <v>1005</v>
      </c>
      <c r="I1052" s="46">
        <f>IF(H1052=0,DATE(2026,10,29),IF(H1052=1,DATE(2026,10,30),DATE(2026,11,2)+7*INT((H1052-2)/3)+CHOOSE(MOD(H1052-2,3)+1,0,2,4)))</f>
        <v/>
      </c>
    </row>
    <row r="1053" ht="23.85" customHeight="1" s="24">
      <c r="A1053" s="43" t="n">
        <v>1052</v>
      </c>
      <c r="B1053" s="44" t="inlineStr">
        <is>
          <t>República Italiana: da reconstrução a hoje (1946–hoje)</t>
        </is>
      </c>
      <c r="C1053" s="45" t="inlineStr">
        <is>
          <t>1982</t>
        </is>
      </c>
      <c r="D1053" s="44" t="inlineStr">
        <is>
          <t>A Copa do Mundo da Itália</t>
        </is>
      </c>
      <c r="E1053" s="44" t="inlineStr">
        <is>
          <t>A definir (Roma)</t>
        </is>
      </c>
      <c r="F1053" s="45" t="inlineStr">
        <is>
          <t>Pendente</t>
        </is>
      </c>
      <c r="G1053" s="45" t="n">
        <v>1982</v>
      </c>
      <c r="H1053" s="43" t="n">
        <v>1006</v>
      </c>
      <c r="I1053" s="46">
        <f>IF(H1053=0,DATE(2026,10,29),IF(H1053=1,DATE(2026,10,30),DATE(2026,11,2)+7*INT((H1053-2)/3)+CHOOSE(MOD(H1053-2,3)+1,0,2,4)))</f>
        <v/>
      </c>
    </row>
    <row r="1054" ht="23.85" customHeight="1" s="24">
      <c r="A1054" s="43" t="n">
        <v>1053</v>
      </c>
      <c r="B1054" s="44" t="inlineStr">
        <is>
          <t>República Italiana: da reconstrução a hoje (1946–hoje)</t>
        </is>
      </c>
      <c r="C1054" s="45" t="inlineStr">
        <is>
          <t>1984</t>
        </is>
      </c>
      <c r="D1054" s="44" t="inlineStr">
        <is>
          <t>Craxi e a Concordata revista</t>
        </is>
      </c>
      <c r="E1054" s="44" t="inlineStr">
        <is>
          <t>A definir (Roma)</t>
        </is>
      </c>
      <c r="F1054" s="45" t="inlineStr">
        <is>
          <t>Pendente</t>
        </is>
      </c>
      <c r="G1054" s="45" t="n">
        <v>1984</v>
      </c>
      <c r="H1054" s="43" t="n">
        <v>1007</v>
      </c>
      <c r="I1054" s="46">
        <f>IF(H1054=0,DATE(2026,10,29),IF(H1054=1,DATE(2026,10,30),DATE(2026,11,2)+7*INT((H1054-2)/3)+CHOOSE(MOD(H1054-2,3)+1,0,2,4)))</f>
        <v/>
      </c>
    </row>
    <row r="1055" ht="23.85" customHeight="1" s="24">
      <c r="A1055" s="43" t="n">
        <v>1054</v>
      </c>
      <c r="B1055" s="44" t="inlineStr">
        <is>
          <t>República Italiana: da reconstrução a hoje (1946–hoje)</t>
        </is>
      </c>
      <c r="C1055" s="45" t="inlineStr">
        <is>
          <t>1990</t>
        </is>
      </c>
      <c r="D1055" s="44" t="inlineStr">
        <is>
          <t>A Copa do Mundo de 1990</t>
        </is>
      </c>
      <c r="E1055" s="44" t="inlineStr">
        <is>
          <t>Estádio Olímpico, Roma</t>
        </is>
      </c>
      <c r="F1055" s="45" t="inlineStr">
        <is>
          <t>Pendente</t>
        </is>
      </c>
      <c r="G1055" s="45" t="n">
        <v>1990</v>
      </c>
      <c r="H1055" s="43" t="n">
        <v>1008</v>
      </c>
      <c r="I1055" s="46">
        <f>IF(H1055=0,DATE(2026,10,29),IF(H1055=1,DATE(2026,10,30),DATE(2026,11,2)+7*INT((H1055-2)/3)+CHOOSE(MOD(H1055-2,3)+1,0,2,4)))</f>
        <v/>
      </c>
    </row>
    <row r="1056" ht="23.85" customHeight="1" s="24">
      <c r="A1056" s="43" t="n">
        <v>1055</v>
      </c>
      <c r="B1056" s="44" t="inlineStr">
        <is>
          <t>República Italiana: da reconstrução a hoje (1946–hoje)</t>
        </is>
      </c>
      <c r="C1056" s="45" t="inlineStr">
        <is>
          <t>1992</t>
        </is>
      </c>
      <c r="D1056" s="44" t="inlineStr">
        <is>
          <t>Mani Pulite</t>
        </is>
      </c>
      <c r="E1056" s="44" t="inlineStr">
        <is>
          <t>Milão</t>
        </is>
      </c>
      <c r="F1056" s="45" t="inlineStr">
        <is>
          <t>Pendente</t>
        </is>
      </c>
      <c r="G1056" s="45" t="n">
        <v>1992</v>
      </c>
      <c r="H1056" s="43" t="n">
        <v>1009</v>
      </c>
      <c r="I1056" s="46">
        <f>IF(H1056=0,DATE(2026,10,29),IF(H1056=1,DATE(2026,10,30),DATE(2026,11,2)+7*INT((H1056-2)/3)+CHOOSE(MOD(H1056-2,3)+1,0,2,4)))</f>
        <v/>
      </c>
    </row>
    <row r="1057" ht="23.85" customHeight="1" s="24">
      <c r="A1057" s="43" t="n">
        <v>1056</v>
      </c>
      <c r="B1057" s="44" t="inlineStr">
        <is>
          <t>República Italiana: da reconstrução a hoje (1946–hoje)</t>
        </is>
      </c>
      <c r="C1057" s="45" t="inlineStr">
        <is>
          <t>1992</t>
        </is>
      </c>
      <c r="D1057" s="44" t="inlineStr">
        <is>
          <t>Falcone e Borsellino</t>
        </is>
      </c>
      <c r="E1057" s="44" t="inlineStr">
        <is>
          <t>Palermo</t>
        </is>
      </c>
      <c r="F1057" s="45" t="inlineStr">
        <is>
          <t>Pendente</t>
        </is>
      </c>
      <c r="G1057" s="45" t="n">
        <v>1992</v>
      </c>
      <c r="H1057" s="43" t="n">
        <v>1010</v>
      </c>
      <c r="I1057" s="46">
        <f>IF(H1057=0,DATE(2026,10,29),IF(H1057=1,DATE(2026,10,30),DATE(2026,11,2)+7*INT((H1057-2)/3)+CHOOSE(MOD(H1057-2,3)+1,0,2,4)))</f>
        <v/>
      </c>
    </row>
    <row r="1058" ht="23.85" customHeight="1" s="24">
      <c r="A1058" s="43" t="n">
        <v>1057</v>
      </c>
      <c r="B1058" s="44" t="inlineStr">
        <is>
          <t>República Italiana: da reconstrução a hoje (1946–hoje)</t>
        </is>
      </c>
      <c r="C1058" s="45" t="inlineStr">
        <is>
          <t>1993</t>
        </is>
      </c>
      <c r="D1058" s="44" t="inlineStr">
        <is>
          <t>A Segunda República</t>
        </is>
      </c>
      <c r="E1058" s="44" t="inlineStr">
        <is>
          <t>A definir (Roma)</t>
        </is>
      </c>
      <c r="F1058" s="45" t="inlineStr">
        <is>
          <t>Pendente</t>
        </is>
      </c>
      <c r="G1058" s="45" t="n">
        <v>1993</v>
      </c>
      <c r="H1058" s="43" t="n">
        <v>1011</v>
      </c>
      <c r="I1058" s="46">
        <f>IF(H1058=0,DATE(2026,10,29),IF(H1058=1,DATE(2026,10,30),DATE(2026,11,2)+7*INT((H1058-2)/3)+CHOOSE(MOD(H1058-2,3)+1,0,2,4)))</f>
        <v/>
      </c>
    </row>
    <row r="1059" ht="23.85" customHeight="1" s="24">
      <c r="A1059" s="43" t="n">
        <v>1058</v>
      </c>
      <c r="B1059" s="44" t="inlineStr">
        <is>
          <t>República Italiana: da reconstrução a hoje (1946–hoje)</t>
        </is>
      </c>
      <c r="C1059" s="45" t="inlineStr">
        <is>
          <t>1996</t>
        </is>
      </c>
      <c r="D1059" s="44" t="inlineStr">
        <is>
          <t>O Euro e a Itália</t>
        </is>
      </c>
      <c r="E1059" s="44" t="inlineStr">
        <is>
          <t>A definir (Roma)</t>
        </is>
      </c>
      <c r="F1059" s="45" t="inlineStr">
        <is>
          <t>Pendente</t>
        </is>
      </c>
      <c r="G1059" s="45" t="n">
        <v>1996</v>
      </c>
      <c r="H1059" s="43" t="n">
        <v>1012</v>
      </c>
      <c r="I1059" s="46">
        <f>IF(H1059=0,DATE(2026,10,29),IF(H1059=1,DATE(2026,10,30),DATE(2026,11,2)+7*INT((H1059-2)/3)+CHOOSE(MOD(H1059-2,3)+1,0,2,4)))</f>
        <v/>
      </c>
    </row>
    <row r="1060" ht="23.85" customHeight="1" s="24">
      <c r="A1060" s="43" t="n">
        <v>1059</v>
      </c>
      <c r="B1060" s="44" t="inlineStr">
        <is>
          <t>República Italiana: da reconstrução a hoje (1946–hoje)</t>
        </is>
      </c>
      <c r="C1060" s="45" t="inlineStr">
        <is>
          <t>2000</t>
        </is>
      </c>
      <c r="D1060" s="44" t="inlineStr">
        <is>
          <t>O Jubileu do ano 2000</t>
        </is>
      </c>
      <c r="E1060" s="44" t="inlineStr">
        <is>
          <t>A definir (Roma)</t>
        </is>
      </c>
      <c r="F1060" s="45" t="inlineStr">
        <is>
          <t>Pendente</t>
        </is>
      </c>
      <c r="G1060" s="45" t="n">
        <v>2000</v>
      </c>
      <c r="H1060" s="43" t="n">
        <v>1013</v>
      </c>
      <c r="I1060" s="46">
        <f>IF(H1060=0,DATE(2026,10,29),IF(H1060=1,DATE(2026,10,30),DATE(2026,11,2)+7*INT((H1060-2)/3)+CHOOSE(MOD(H1060-2,3)+1,0,2,4)))</f>
        <v/>
      </c>
    </row>
    <row r="1061" ht="23.85" customHeight="1" s="24">
      <c r="A1061" s="43" t="n">
        <v>1060</v>
      </c>
      <c r="B1061" s="44" t="inlineStr">
        <is>
          <t>República Italiana: da reconstrução a hoje (1946–hoje)</t>
        </is>
      </c>
      <c r="C1061" s="45" t="inlineStr">
        <is>
          <t>2002</t>
        </is>
      </c>
      <c r="D1061" s="44" t="inlineStr">
        <is>
          <t>O Euro chega às carteiras</t>
        </is>
      </c>
      <c r="E1061" s="44" t="inlineStr">
        <is>
          <t>A definir (Roma)</t>
        </is>
      </c>
      <c r="F1061" s="45" t="inlineStr">
        <is>
          <t>Pendente</t>
        </is>
      </c>
      <c r="G1061" s="45" t="n">
        <v>2002</v>
      </c>
      <c r="H1061" s="43" t="n">
        <v>1014</v>
      </c>
      <c r="I1061" s="46">
        <f>IF(H1061=0,DATE(2026,10,29),IF(H1061=1,DATE(2026,10,30),DATE(2026,11,2)+7*INT((H1061-2)/3)+CHOOSE(MOD(H1061-2,3)+1,0,2,4)))</f>
        <v/>
      </c>
    </row>
    <row r="1062" ht="23.85" customHeight="1" s="24">
      <c r="A1062" s="43" t="n">
        <v>1061</v>
      </c>
      <c r="B1062" s="44" t="inlineStr">
        <is>
          <t>República Italiana: da reconstrução a hoje (1946–hoje)</t>
        </is>
      </c>
      <c r="C1062" s="45" t="inlineStr">
        <is>
          <t>2005</t>
        </is>
      </c>
      <c r="D1062" s="44" t="inlineStr">
        <is>
          <t>A morte de João Paulo II</t>
        </is>
      </c>
      <c r="E1062" s="44" t="inlineStr">
        <is>
          <t>Basílica de São Pedro, Roma</t>
        </is>
      </c>
      <c r="F1062" s="45" t="inlineStr">
        <is>
          <t>Pendente</t>
        </is>
      </c>
      <c r="G1062" s="45" t="n">
        <v>2005</v>
      </c>
      <c r="H1062" s="43" t="n">
        <v>1015</v>
      </c>
      <c r="I1062" s="46">
        <f>IF(H1062=0,DATE(2026,10,29),IF(H1062=1,DATE(2026,10,30),DATE(2026,11,2)+7*INT((H1062-2)/3)+CHOOSE(MOD(H1062-2,3)+1,0,2,4)))</f>
        <v/>
      </c>
    </row>
    <row r="1063" ht="23.85" customHeight="1" s="24">
      <c r="A1063" s="43" t="n">
        <v>1062</v>
      </c>
      <c r="B1063" s="44" t="inlineStr">
        <is>
          <t>República Italiana: da reconstrução a hoje (1946–hoje)</t>
        </is>
      </c>
      <c r="C1063" s="45" t="inlineStr">
        <is>
          <t>2005</t>
        </is>
      </c>
      <c r="D1063" s="44" t="inlineStr">
        <is>
          <t>Bento XVI</t>
        </is>
      </c>
      <c r="E1063" s="44" t="inlineStr">
        <is>
          <t>Basílica de São Pedro, Vaticano</t>
        </is>
      </c>
      <c r="F1063" s="45" t="inlineStr">
        <is>
          <t>Pendente</t>
        </is>
      </c>
      <c r="G1063" s="45" t="n">
        <v>2005</v>
      </c>
      <c r="H1063" s="43" t="n">
        <v>1016</v>
      </c>
      <c r="I1063" s="46">
        <f>IF(H1063=0,DATE(2026,10,29),IF(H1063=1,DATE(2026,10,30),DATE(2026,11,2)+7*INT((H1063-2)/3)+CHOOSE(MOD(H1063-2,3)+1,0,2,4)))</f>
        <v/>
      </c>
    </row>
    <row r="1064" ht="23.85" customHeight="1" s="24">
      <c r="A1064" s="43" t="n">
        <v>1063</v>
      </c>
      <c r="B1064" s="44" t="inlineStr">
        <is>
          <t>República Italiana: da reconstrução a hoje (1946–hoje)</t>
        </is>
      </c>
      <c r="C1064" s="45" t="inlineStr">
        <is>
          <t>2013</t>
        </is>
      </c>
      <c r="D1064" s="44" t="inlineStr">
        <is>
          <t>Francisco: o primeiro papa jesuíta</t>
        </is>
      </c>
      <c r="E1064" s="44" t="inlineStr">
        <is>
          <t>Basílica de São Pedro, Vaticano</t>
        </is>
      </c>
      <c r="F1064" s="45" t="inlineStr">
        <is>
          <t>Pendente</t>
        </is>
      </c>
      <c r="G1064" s="45" t="n">
        <v>2013</v>
      </c>
      <c r="H1064" s="43" t="n">
        <v>1017</v>
      </c>
      <c r="I1064" s="46">
        <f>IF(H1064=0,DATE(2026,10,29),IF(H1064=1,DATE(2026,10,30),DATE(2026,11,2)+7*INT((H1064-2)/3)+CHOOSE(MOD(H1064-2,3)+1,0,2,4)))</f>
        <v/>
      </c>
    </row>
    <row r="1065" ht="23.85" customHeight="1" s="24">
      <c r="A1065" s="43" t="n">
        <v>1064</v>
      </c>
      <c r="B1065" s="44" t="inlineStr">
        <is>
          <t>República Italiana: da reconstrução a hoje (1946–hoje)</t>
        </is>
      </c>
      <c r="C1065" s="45" t="inlineStr">
        <is>
          <t>2020</t>
        </is>
      </c>
      <c r="D1065" s="44" t="inlineStr">
        <is>
          <t>A Covid-19 na Itália</t>
        </is>
      </c>
      <c r="E1065" s="44" t="inlineStr">
        <is>
          <t>A definir (Roma)</t>
        </is>
      </c>
      <c r="F1065" s="45" t="inlineStr">
        <is>
          <t>Pendente</t>
        </is>
      </c>
      <c r="G1065" s="45" t="n">
        <v>2020</v>
      </c>
      <c r="H1065" s="43" t="n">
        <v>1018</v>
      </c>
      <c r="I1065" s="46">
        <f>IF(H1065=0,DATE(2026,10,29),IF(H1065=1,DATE(2026,10,30),DATE(2026,11,2)+7*INT((H1065-2)/3)+CHOOSE(MOD(H1065-2,3)+1,0,2,4)))</f>
        <v/>
      </c>
    </row>
    <row r="1066" ht="23.85" customHeight="1" s="24">
      <c r="A1066" s="43" t="n">
        <v>1065</v>
      </c>
      <c r="B1066" s="44" t="inlineStr">
        <is>
          <t>República Italiana: da reconstrução a hoje (1946–hoje)</t>
        </is>
      </c>
      <c r="C1066" s="45" t="inlineStr">
        <is>
          <t>2025</t>
        </is>
      </c>
      <c r="D1066" s="44" t="inlineStr">
        <is>
          <t>O Jubileu de 2025</t>
        </is>
      </c>
      <c r="E1066" s="44" t="inlineStr">
        <is>
          <t>A definir (Roma)</t>
        </is>
      </c>
      <c r="F1066" s="45" t="inlineStr">
        <is>
          <t>Pendente</t>
        </is>
      </c>
      <c r="G1066" s="45" t="n">
        <v>2025</v>
      </c>
      <c r="H1066" s="43" t="n">
        <v>1019</v>
      </c>
      <c r="I1066" s="46">
        <f>IF(H1066=0,DATE(2026,10,29),IF(H1066=1,DATE(2026,10,30),DATE(2026,11,2)+7*INT((H1066-2)/3)+CHOOSE(MOD(H1066-2,3)+1,0,2,4)))</f>
        <v/>
      </c>
    </row>
    <row r="1067" ht="23.85" customHeight="1" s="24">
      <c r="A1067" s="43" t="n">
        <v>1066</v>
      </c>
      <c r="B1067" s="44" t="inlineStr">
        <is>
          <t>República Italiana: da reconstrução a hoje (1946–hoje)</t>
        </is>
      </c>
      <c r="C1067" s="45" t="inlineStr">
        <is>
          <t>2026</t>
        </is>
      </c>
      <c r="D1067" s="44" t="inlineStr">
        <is>
          <t>Roma hoje: uma cidade eterna em movimento</t>
        </is>
      </c>
      <c r="E1067" s="44" t="inlineStr">
        <is>
          <t>A definir (Roma)</t>
        </is>
      </c>
      <c r="F1067" s="45" t="inlineStr">
        <is>
          <t>Pendente</t>
        </is>
      </c>
      <c r="G1067" s="45" t="n">
        <v>2026</v>
      </c>
      <c r="H1067" s="43" t="n">
        <v>1020</v>
      </c>
      <c r="I1067" s="46">
        <f>IF(H1067=0,DATE(2026,10,29),IF(H1067=1,DATE(2026,10,30),DATE(2026,11,2)+7*INT((H1067-2)/3)+CHOOSE(MOD(H1067-2,3)+1,0,2,4)))</f>
        <v/>
      </c>
    </row>
  </sheetData>
  <autoFilter ref="A1:I1067"/>
  <conditionalFormatting sqref="A2:I1067">
    <cfRule type="expression" rank="0" priority="2" equalAverage="0" aboveAverage="0" dxfId="6" text="" percent="0" bottom="0">
      <formula>$F2="Publicado"</formula>
    </cfRule>
    <cfRule type="expression" rank="0" priority="3" equalAverage="0" aboveAverage="0" dxfId="7" text="" percent="0" bottom="0">
      <formula>$F2="Rascunho pronto"</formula>
    </cfRule>
    <cfRule type="expression" rank="0" priority="4" equalAverage="0" aboveAverage="0" dxfId="8" text="" percent="0" bottom="0">
      <formula>$F2="Prelúdio (pendente)"</formula>
    </cfRule>
  </conditionalFormatting>
  <dataValidations count="1">
    <dataValidation sqref="F2:F1067" showDropDown="0" showInputMessage="0" showErrorMessage="0" allowBlank="0" type="list" errorStyle="stop" operator="between">
      <formula1>"Pendente,Rascunho pronto,Publicado,Prelúdio (pendente),Adiado"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2026-10-29T11:09:21Z</dcterms:created>
  <dcterms:modified xmlns:dcterms="http://purl.org/dc/terms/" xmlns:xsi="http://www.w3.org/2001/XMLSchema-instance" xsi:type="dcterms:W3CDTF">2026-10-30T17:55:51Z</dcterms:modified>
  <cp:revision>0</cp:revision>
</cp:coreProperties>
</file>